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rizherv/Projects/ccr-rnf/resources/templates/"/>
    </mc:Choice>
  </mc:AlternateContent>
  <xr:revisionPtr revIDLastSave="0" documentId="13_ncr:1_{34D09527-2881-5244-A7F7-2E8840C088BE}" xr6:coauthVersionLast="47" xr6:coauthVersionMax="47" xr10:uidLastSave="{00000000-0000-0000-0000-000000000000}"/>
  <bookViews>
    <workbookView xWindow="0" yWindow="660" windowWidth="30240" windowHeight="17840" xr2:uid="{00000000-000D-0000-FFFF-FFFF00000000}"/>
  </bookViews>
  <sheets>
    <sheet name="PARTS &amp; LABOUR WORKSHEET" sheetId="4" r:id="rId1"/>
    <sheet name="DETAIL" sheetId="12" r:id="rId2"/>
    <sheet name="Sheet1" sheetId="8" state="hidden" r:id="rId3"/>
    <sheet name="Sheet2" sheetId="9" state="hidden" r:id="rId4"/>
    <sheet name="Sheet3" sheetId="10" state="hidden" r:id="rId5"/>
    <sheet name="Sheet4" sheetId="11" state="hidden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1" hidden="1">DETAIL!#REF!</definedName>
    <definedName name="_xlnm._FilterDatabase" localSheetId="0" hidden="1">'PARTS &amp; LABOUR WORKSHEET'!$A$4:$F$7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Sort" localSheetId="1" hidden="1">#REF!</definedName>
    <definedName name="_Sort" localSheetId="0" hidden="1">#REF!</definedName>
    <definedName name="_Sort" hidden="1">#REF!</definedName>
    <definedName name="A" localSheetId="1">#REF!</definedName>
    <definedName name="A" localSheetId="0">#REF!</definedName>
    <definedName name="A">#REF!</definedName>
    <definedName name="AGREE" localSheetId="1">#REF!</definedName>
    <definedName name="AGREE" localSheetId="0">#REF!</definedName>
    <definedName name="AGREE">#REF!</definedName>
    <definedName name="Agree_Intervals" localSheetId="1">#REF!</definedName>
    <definedName name="Agree_Intervals" localSheetId="0">#REF!</definedName>
    <definedName name="Agree_Intervals">#REF!</definedName>
    <definedName name="Agree_Term" localSheetId="1">#REF!</definedName>
    <definedName name="Agree_Term" localSheetId="0">#REF!</definedName>
    <definedName name="Agree_Term">#REF!</definedName>
    <definedName name="asset">#REF!</definedName>
    <definedName name="C_Costs" localSheetId="1">#REF!</definedName>
    <definedName name="C_Costs" localSheetId="0">#REF!</definedName>
    <definedName name="C_Costs">#REF!</definedName>
    <definedName name="C_CustH" localSheetId="1">#REF!</definedName>
    <definedName name="C_CustH" localSheetId="0">#REF!</definedName>
    <definedName name="C_CustH">#REF!</definedName>
    <definedName name="C_Downtime" localSheetId="1">#REF!</definedName>
    <definedName name="C_Downtime" localSheetId="0">#REF!</definedName>
    <definedName name="C_Downtime">#REF!</definedName>
    <definedName name="C_FieldServC" localSheetId="1">#REF!</definedName>
    <definedName name="C_FieldServC" localSheetId="0">#REF!</definedName>
    <definedName name="C_FieldServC">#REF!</definedName>
    <definedName name="C_FieldServH" localSheetId="1">#REF!</definedName>
    <definedName name="C_FieldServH" localSheetId="0">#REF!</definedName>
    <definedName name="C_FieldServH">#REF!</definedName>
    <definedName name="C_Other_Overheads" localSheetId="1">#REF!</definedName>
    <definedName name="C_Other_Overheads" localSheetId="0">#REF!</definedName>
    <definedName name="C_Other_Overheads">#REF!</definedName>
    <definedName name="C_OtherC1" localSheetId="1">#REF!</definedName>
    <definedName name="C_OtherC1" localSheetId="0">#REF!</definedName>
    <definedName name="C_OtherC1">#REF!</definedName>
    <definedName name="C_Parts" localSheetId="1">#REF!</definedName>
    <definedName name="C_Parts" localSheetId="0">#REF!</definedName>
    <definedName name="C_Parts">#REF!</definedName>
    <definedName name="C_ShopC" localSheetId="1">#REF!</definedName>
    <definedName name="C_ShopC" localSheetId="0">#REF!</definedName>
    <definedName name="C_ShopC">#REF!</definedName>
    <definedName name="C_ShopH" localSheetId="1">#REF!</definedName>
    <definedName name="C_ShopH" localSheetId="0">#REF!</definedName>
    <definedName name="C_ShopH">#REF!</definedName>
    <definedName name="C_Travel" localSheetId="1">#REF!</definedName>
    <definedName name="C_Travel" localSheetId="0">#REF!</definedName>
    <definedName name="C_Travel">#REF!</definedName>
    <definedName name="CompDesc">'[1]Component Details'!$A$293:$A$561</definedName>
    <definedName name="Component_Nos" localSheetId="1">#REF!</definedName>
    <definedName name="Component_Nos" localSheetId="0">#REF!</definedName>
    <definedName name="Component_Nos">#REF!</definedName>
    <definedName name="Component_Nos1" localSheetId="1">#REF!</definedName>
    <definedName name="Component_Nos1" localSheetId="0">#REF!</definedName>
    <definedName name="Component_Nos1">#REF!</definedName>
    <definedName name="Engine" localSheetId="1">#REF!</definedName>
    <definedName name="Engine" localSheetId="0">#REF!</definedName>
    <definedName name="Engine">#REF!</definedName>
    <definedName name="Engine_Range" localSheetId="1">#REF!</definedName>
    <definedName name="Engine_Range" localSheetId="0">#REF!</definedName>
    <definedName name="Engine_Range">#REF!</definedName>
    <definedName name="Engine_T" localSheetId="1">#REF!</definedName>
    <definedName name="Engine_T" localSheetId="0">#REF!</definedName>
    <definedName name="Engine_T">#REF!</definedName>
    <definedName name="Export_dbSummary" localSheetId="1">#REF!</definedName>
    <definedName name="Export_dbSummary" localSheetId="0">#REF!</definedName>
    <definedName name="Export_dbSummary">#REF!</definedName>
    <definedName name="from">#REF!</definedName>
    <definedName name="list">#REF!</definedName>
    <definedName name="Misc" localSheetId="1">#REF!</definedName>
    <definedName name="Misc" localSheetId="0">#REF!</definedName>
    <definedName name="Misc">#REF!</definedName>
    <definedName name="Misc_T" localSheetId="1">#REF!</definedName>
    <definedName name="Misc_T" localSheetId="0">#REF!</definedName>
    <definedName name="Misc_T">#REF!</definedName>
    <definedName name="Other" localSheetId="1">#REF!</definedName>
    <definedName name="Other" localSheetId="0">#REF!</definedName>
    <definedName name="Other">#REF!</definedName>
    <definedName name="Other_Range" localSheetId="1">#REF!</definedName>
    <definedName name="Other_Range" localSheetId="0">#REF!</definedName>
    <definedName name="Other_Range">#REF!</definedName>
    <definedName name="Other_T" localSheetId="1">#REF!</definedName>
    <definedName name="Other_T" localSheetId="0">#REF!</definedName>
    <definedName name="Other_T">#REF!</definedName>
    <definedName name="Owner" localSheetId="1">'[2]Valid Field Info'!$R$2:$R$5</definedName>
    <definedName name="Owner">'[2]Valid Field Info'!$R$2:$R$5</definedName>
    <definedName name="P_Comp_CostingsAnalysis" localSheetId="1">#REF!</definedName>
    <definedName name="P_Comp_CostingsAnalysis" localSheetId="0">#REF!</definedName>
    <definedName name="P_Comp_CostingsAnalysis">#REF!</definedName>
    <definedName name="P_Comp_CostingsSummary" localSheetId="1">#REF!</definedName>
    <definedName name="P_Comp_CostingsSummary" localSheetId="0">#REF!</definedName>
    <definedName name="P_Comp_CostingsSummary">#REF!</definedName>
    <definedName name="P_Comp_DowntimeAnalysis" localSheetId="1">#REF!</definedName>
    <definedName name="P_Comp_DowntimeAnalysis" localSheetId="0">#REF!</definedName>
    <definedName name="P_Comp_DowntimeAnalysis">#REF!</definedName>
    <definedName name="P_Comp_Inputs" localSheetId="1">#REF!</definedName>
    <definedName name="P_Comp_Inputs" localSheetId="0">#REF!</definedName>
    <definedName name="P_Comp_Inputs">#REF!</definedName>
    <definedName name="P_Comp_LabourAnalysis" localSheetId="1">#REF!</definedName>
    <definedName name="P_Comp_LabourAnalysis" localSheetId="0">#REF!</definedName>
    <definedName name="P_Comp_LabourAnalysis">#REF!</definedName>
    <definedName name="Partno" localSheetId="1">#REF!</definedName>
    <definedName name="Partno" localSheetId="0">#REF!</definedName>
    <definedName name="Partno">#REF!</definedName>
    <definedName name="PILIH" localSheetId="1">#REF!</definedName>
    <definedName name="PILIH" localSheetId="0">#REF!</definedName>
    <definedName name="PILIH">#REF!</definedName>
    <definedName name="pILIHAN" localSheetId="1">#REF!</definedName>
    <definedName name="pILIHAN" localSheetId="0">#REF!</definedName>
    <definedName name="pILIHAN">#REF!</definedName>
    <definedName name="PM_Services" localSheetId="1">#REF!</definedName>
    <definedName name="PM_Services" localSheetId="0">#REF!</definedName>
    <definedName name="PM_Services">#REF!</definedName>
    <definedName name="PM_Services_Range" localSheetId="1">#REF!</definedName>
    <definedName name="PM_Services_Range" localSheetId="0">#REF!</definedName>
    <definedName name="PM_Services_Range">#REF!</definedName>
    <definedName name="PM_Services_T" localSheetId="1">#REF!</definedName>
    <definedName name="PM_Services_T" localSheetId="0">#REF!</definedName>
    <definedName name="PM_Services_T">#REF!</definedName>
    <definedName name="Power_Consumption" localSheetId="1">#REF!</definedName>
    <definedName name="Power_Consumption" localSheetId="0">#REF!</definedName>
    <definedName name="Power_Consumption">#REF!</definedName>
    <definedName name="Power_Consumption_Range" localSheetId="1">#REF!</definedName>
    <definedName name="Power_Consumption_Range" localSheetId="0">#REF!</definedName>
    <definedName name="Power_Consumption_Range">#REF!</definedName>
    <definedName name="Power_Consumption_T" localSheetId="1">#REF!</definedName>
    <definedName name="Power_Consumption_T" localSheetId="0">#REF!</definedName>
    <definedName name="Power_Consumption_T">#REF!</definedName>
    <definedName name="Powertrain" localSheetId="1">#REF!</definedName>
    <definedName name="Powertrain" localSheetId="0">#REF!</definedName>
    <definedName name="Powertrain">#REF!</definedName>
    <definedName name="Powertrain_Range" localSheetId="1">#REF!</definedName>
    <definedName name="Powertrain_Range" localSheetId="0">#REF!</definedName>
    <definedName name="Powertrain_Range">#REF!</definedName>
    <definedName name="Powertrain_T" localSheetId="1">#REF!</definedName>
    <definedName name="Powertrain_T" localSheetId="0">#REF!</definedName>
    <definedName name="Powertrain_T">#REF!</definedName>
    <definedName name="_xlnm.Print_Area" localSheetId="1">DETAIL!$A$1:$L$78</definedName>
    <definedName name="_xlnm.Print_Area" localSheetId="0">'PARTS &amp; LABOUR WORKSHEET'!$A$1:$I$38</definedName>
    <definedName name="project">#REF!</definedName>
    <definedName name="Schedule_Control_Column" localSheetId="1">#REF!</definedName>
    <definedName name="Schedule_Control_Column" localSheetId="0">#REF!</definedName>
    <definedName name="Schedule_Control_Column">#REF!</definedName>
    <definedName name="Schedule_Master_Formulas1" localSheetId="1">#REF!</definedName>
    <definedName name="Schedule_Master_Formulas1" localSheetId="0">#REF!</definedName>
    <definedName name="Schedule_Master_Formulas1">#REF!</definedName>
    <definedName name="Schedule_Master_Formulas2" localSheetId="1">#REF!</definedName>
    <definedName name="Schedule_Master_Formulas2" localSheetId="0">#REF!</definedName>
    <definedName name="Schedule_Master_Formulas2">#REF!</definedName>
    <definedName name="Schedule_Totals" localSheetId="1">#REF!</definedName>
    <definedName name="Schedule_Totals" localSheetId="0">#REF!</definedName>
    <definedName name="Schedule_Totals">#REF!</definedName>
    <definedName name="suppliers">#REF!</definedName>
    <definedName name="ValidConnection" localSheetId="1">'[2]Valid Field Info'!$H$2:$H$31</definedName>
    <definedName name="ValidConnection">'[2]Valid Field Info'!$H$2:$H$31</definedName>
    <definedName name="ValidDC" localSheetId="1">'[2]Valid Field Info'!$B$2:$B$4</definedName>
    <definedName name="ValidDC">'[2]Valid Field Info'!$B$2:$B$4</definedName>
    <definedName name="ValidDCID" localSheetId="1">'[2]Valid Field Info'!$M$2:$M$11</definedName>
    <definedName name="ValidDCID">'[2]Valid Field Info'!$M$2:$M$11</definedName>
    <definedName name="ValidDCOD" localSheetId="1">'[2]Valid Field Info'!$J$2:$J$14</definedName>
    <definedName name="ValidDCOD">'[2]Valid Field Info'!$J$2:$J$14</definedName>
    <definedName name="ValidDPGrade" localSheetId="1">'[2]Valid Field Info'!$E$2:$E$9</definedName>
    <definedName name="ValidDPGrade">'[2]Valid Field Info'!$E$2:$E$9</definedName>
    <definedName name="ValidHB" localSheetId="1">'[2]Valid Field Info'!$D$2:$D$12</definedName>
    <definedName name="ValidHB">'[2]Valid Field Info'!$D$2:$D$12</definedName>
    <definedName name="ValidHWConnOD" localSheetId="1">'[2]Valid Field Info'!$Q$2:$Q$24</definedName>
    <definedName name="ValidHWConnOD">'[2]Valid Field Info'!$Q$2:$Q$24</definedName>
    <definedName name="ValidHWDP" localSheetId="1">'[2]Valid Field Info'!$A$2:$A$4</definedName>
    <definedName name="ValidHWDP">'[2]Valid Field Info'!$A$2:$A$4</definedName>
    <definedName name="ValidHWID" localSheetId="1">'[2]Valid Field Info'!$L$2:$L$21</definedName>
    <definedName name="ValidHWID">'[2]Valid Field Info'!$L$2:$L$21</definedName>
    <definedName name="ValidInspection" localSheetId="1">'[2]Valid Field Info'!$G$2:$G$7</definedName>
    <definedName name="ValidInspection">'[2]Valid Field Info'!$G$2:$G$7</definedName>
    <definedName name="ValidIPC" localSheetId="1">'[2]Valid Field Info'!$O$2:$O$3</definedName>
    <definedName name="ValidIPC">'[2]Valid Field Info'!$O$2:$O$3</definedName>
    <definedName name="ValidOD" localSheetId="1">'[2]Valid Field Info'!$K$2:$K$10</definedName>
    <definedName name="ValidOD">'[2]Valid Field Info'!$K$2:$K$10</definedName>
    <definedName name="ValidRange" localSheetId="1">'[2]Valid Field Info'!$F$2:$F$3</definedName>
    <definedName name="ValidRange">'[2]Valid Field Info'!$F$2:$F$3</definedName>
    <definedName name="ValidWall" localSheetId="1">'[2]Valid Field Info'!$N$2:$N$32</definedName>
    <definedName name="ValidWall">'[2]Valid Field Info'!$N$2:$N$32</definedName>
    <definedName name="yes">'[3]Valid Field Info'!$R$2:$R$5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4" i="12" l="1"/>
  <c r="P69" i="12"/>
  <c r="P71" i="12" s="1"/>
  <c r="P72" i="12" s="1"/>
  <c r="J63" i="12"/>
  <c r="J62" i="12"/>
  <c r="J61" i="12"/>
  <c r="J60" i="12"/>
  <c r="J59" i="12"/>
  <c r="J58" i="12"/>
  <c r="J53" i="12"/>
  <c r="K34" i="12"/>
  <c r="K33" i="12"/>
  <c r="K32" i="12"/>
  <c r="K31" i="12"/>
  <c r="K30" i="12"/>
  <c r="K29" i="12"/>
  <c r="K10" i="12"/>
  <c r="K2" i="12"/>
  <c r="L58" i="12" l="1"/>
  <c r="L53" i="12" l="1"/>
  <c r="L55" i="12" s="1"/>
  <c r="L75" i="12" s="1"/>
  <c r="L76" i="12" s="1"/>
  <c r="XFD76" i="12" l="1"/>
  <c r="L77" i="12"/>
  <c r="L78" i="12" s="1"/>
</calcChain>
</file>

<file path=xl/sharedStrings.xml><?xml version="1.0" encoding="utf-8"?>
<sst xmlns="http://schemas.openxmlformats.org/spreadsheetml/2006/main" count="72" uniqueCount="59">
  <si>
    <t xml:space="preserve"> </t>
  </si>
  <si>
    <t>Items</t>
  </si>
  <si>
    <t>Quantity</t>
  </si>
  <si>
    <t>Uom</t>
  </si>
  <si>
    <t>Part Number</t>
  </si>
  <si>
    <t>Part Description</t>
  </si>
  <si>
    <t>Part Section</t>
  </si>
  <si>
    <t>No</t>
  </si>
  <si>
    <t>Extended Price</t>
  </si>
  <si>
    <t xml:space="preserve">In Stock  </t>
  </si>
  <si>
    <t>Sales Price</t>
  </si>
  <si>
    <t>Note</t>
  </si>
  <si>
    <t>CUSTOMER</t>
  </si>
  <si>
    <t>QUO/EST NUMBER</t>
  </si>
  <si>
    <t>WO NUMBER</t>
  </si>
  <si>
    <t>MODEL</t>
  </si>
  <si>
    <t>S/N</t>
  </si>
  <si>
    <t>EQUIPT NO.</t>
  </si>
  <si>
    <t>FOR THE ATTENTION</t>
  </si>
  <si>
    <t>DATE</t>
  </si>
  <si>
    <t>SMU.</t>
  </si>
  <si>
    <t>N/A</t>
  </si>
  <si>
    <t>JOB OUTLINE :</t>
  </si>
  <si>
    <t>REPAIR OPERATOR SEAT</t>
  </si>
  <si>
    <t>SEG</t>
  </si>
  <si>
    <t>COMPONENT</t>
  </si>
  <si>
    <t>TASK</t>
  </si>
  <si>
    <t xml:space="preserve">LABOUR </t>
  </si>
  <si>
    <t>PARTS</t>
  </si>
  <si>
    <t>CODE</t>
  </si>
  <si>
    <t>DESCRIPTION</t>
  </si>
  <si>
    <t xml:space="preserve"> DESCRIPTION</t>
  </si>
  <si>
    <t>WORK ORDER NO.</t>
  </si>
  <si>
    <t>HOURS</t>
  </si>
  <si>
    <t>CHARGE (Rp)</t>
  </si>
  <si>
    <t>Sub Total</t>
  </si>
  <si>
    <t>MISCELLANEOUS</t>
  </si>
  <si>
    <t>CONSUMABLE SUPPLIES</t>
  </si>
  <si>
    <t>of Labour cost</t>
  </si>
  <si>
    <t>PAINTING</t>
  </si>
  <si>
    <t>COLOUR PAINT</t>
  </si>
  <si>
    <t>LTRS</t>
  </si>
  <si>
    <t>BLACK PAINT</t>
  </si>
  <si>
    <t>THINNER</t>
  </si>
  <si>
    <t>MASKING TAPE 2"</t>
  </si>
  <si>
    <t>EA</t>
  </si>
  <si>
    <t>ENGINE OIL</t>
  </si>
  <si>
    <t>FUEL</t>
  </si>
  <si>
    <t>Freight &amp; Transport</t>
  </si>
  <si>
    <t>TOTAL LABOUR</t>
  </si>
  <si>
    <t>TOTAL PARTS</t>
  </si>
  <si>
    <t>TOTAL MISCELLANEOUS</t>
  </si>
  <si>
    <t>TOTAL BEFORE TAX</t>
  </si>
  <si>
    <t>SALES TAX 11 %</t>
  </si>
  <si>
    <t>TOTAL REPAIR CHARGE</t>
  </si>
  <si>
    <t>Beri  akses untuk edit pada bagian painting</t>
  </si>
  <si>
    <t>Input manual</t>
  </si>
  <si>
    <t>No. Unit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</si>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</sst>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&quot;Rp&quot;* #,##0_-;\-&quot;Rp&quot;* #,##0_-;_-&quot;Rp&quot;* &quot;-&quot;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[$USD]\ * #,##0.00_);_([$USD]\ * \(#,##0.00\);_([$USD]\ * &quot;-&quot;??_);_(@_)"/>
    <numFmt numFmtId="168" formatCode="0.00_)"/>
    <numFmt numFmtId="169" formatCode="_-[$Rp-421]* #,##0_-;\-[$Rp-421]* #,##0_-;_-[$Rp-421]* &quot;-&quot;_-;_-@_-"/>
    <numFmt numFmtId="170" formatCode="_(* #,##0_);_(* \(#,##0\);_(* &quot;-&quot;??_);_(@_)"/>
    <numFmt numFmtId="171" formatCode="[$Rp-421]#,##0.00"/>
    <numFmt numFmtId="172" formatCode="_-[$Rp-3809]* #,##0_-;\-[$Rp-3809]* #,##0_-;_-[$Rp-3809]* &quot;-&quot;??_-;_-@_-"/>
  </numFmts>
  <fonts count="26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color rgb="FF000000"/>
      <name val="Tahoma"/>
      <family val="2"/>
    </font>
    <font>
      <b/>
      <sz val="16"/>
      <color rgb="FF800000"/>
      <name val="Arial"/>
      <family val="2"/>
    </font>
    <font>
      <sz val="8"/>
      <color rgb="FF000000"/>
      <name val="Tahoma"/>
      <family val="2"/>
    </font>
    <font>
      <sz val="1"/>
      <color rgb="FF000000"/>
      <name val="Arial"/>
      <family val="2"/>
    </font>
    <font>
      <b/>
      <sz val="8"/>
      <color rgb="FFFF0000"/>
      <name val="Arial"/>
      <family val="2"/>
    </font>
    <font>
      <b/>
      <sz val="10"/>
      <color rgb="FF000000"/>
      <name val="Tahoma"/>
      <family val="2"/>
    </font>
    <font>
      <sz val="8"/>
      <color rgb="FF000000"/>
      <name val="Arial"/>
      <family val="2"/>
    </font>
    <font>
      <b/>
      <sz val="9"/>
      <color rgb="FF00008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06">
    <xf numFmtId="0" fontId="0" fillId="0" borderId="0"/>
    <xf numFmtId="0" fontId="2" fillId="0" borderId="0"/>
    <xf numFmtId="0" fontId="3" fillId="0" borderId="0"/>
    <xf numFmtId="0" fontId="2" fillId="0" borderId="1" applyNumberFormat="0" applyFont="0" applyFill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37" fontId="5" fillId="0" borderId="0"/>
    <xf numFmtId="168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" fontId="7" fillId="0" borderId="0">
      <alignment horizontal="center" vertical="top"/>
    </xf>
    <xf numFmtId="4" fontId="8" fillId="0" borderId="0">
      <alignment horizontal="center" vertical="top"/>
    </xf>
    <xf numFmtId="4" fontId="9" fillId="0" borderId="0">
      <alignment horizontal="center" vertical="top"/>
    </xf>
    <xf numFmtId="4" fontId="10" fillId="0" borderId="0">
      <alignment horizontal="left" vertical="top"/>
    </xf>
    <xf numFmtId="4" fontId="9" fillId="0" borderId="0">
      <alignment horizontal="left" vertical="top"/>
    </xf>
    <xf numFmtId="4" fontId="9" fillId="0" borderId="0">
      <alignment horizontal="right" vertical="top"/>
    </xf>
    <xf numFmtId="4" fontId="11" fillId="0" borderId="0">
      <alignment horizontal="right" vertical="top"/>
    </xf>
    <xf numFmtId="4" fontId="12" fillId="0" borderId="0">
      <alignment horizontal="center" vertical="top"/>
    </xf>
    <xf numFmtId="4" fontId="13" fillId="0" borderId="0">
      <alignment horizontal="right" vertical="top"/>
    </xf>
    <xf numFmtId="4" fontId="14" fillId="0" borderId="0">
      <alignment horizontal="center" vertical="top"/>
    </xf>
    <xf numFmtId="4" fontId="15" fillId="0" borderId="0">
      <alignment horizontal="left" vertical="top"/>
    </xf>
    <xf numFmtId="4" fontId="16" fillId="0" borderId="0">
      <alignment horizontal="left" vertical="top"/>
    </xf>
    <xf numFmtId="4" fontId="13" fillId="0" borderId="0">
      <alignment horizontal="left" vertical="top"/>
    </xf>
    <xf numFmtId="4" fontId="17" fillId="0" borderId="0">
      <alignment horizontal="right" vertical="top"/>
    </xf>
    <xf numFmtId="4" fontId="17" fillId="0" borderId="0">
      <alignment horizontal="left" vertical="top"/>
    </xf>
    <xf numFmtId="0" fontId="2" fillId="0" borderId="0"/>
  </cellStyleXfs>
  <cellXfs count="237">
    <xf numFmtId="0" fontId="0" fillId="0" borderId="0" xfId="0"/>
    <xf numFmtId="0" fontId="19" fillId="3" borderId="0" xfId="31" applyFont="1" applyFill="1" applyAlignment="1">
      <alignment horizontal="center"/>
    </xf>
    <xf numFmtId="0" fontId="19" fillId="3" borderId="0" xfId="31" applyFont="1" applyFill="1" applyAlignment="1">
      <alignment horizontal="left"/>
    </xf>
    <xf numFmtId="0" fontId="19" fillId="3" borderId="0" xfId="31" applyFont="1" applyFill="1"/>
    <xf numFmtId="0" fontId="18" fillId="3" borderId="0" xfId="31" applyFont="1" applyFill="1" applyAlignment="1">
      <alignment horizontal="left"/>
    </xf>
    <xf numFmtId="0" fontId="20" fillId="4" borderId="3" xfId="31" applyFont="1" applyFill="1" applyBorder="1" applyAlignment="1">
      <alignment horizontal="center"/>
    </xf>
    <xf numFmtId="0" fontId="20" fillId="4" borderId="4" xfId="31" applyFont="1" applyFill="1" applyBorder="1" applyAlignment="1">
      <alignment horizontal="center"/>
    </xf>
    <xf numFmtId="0" fontId="20" fillId="4" borderId="4" xfId="31" applyFont="1" applyFill="1" applyBorder="1" applyAlignment="1">
      <alignment horizontal="left"/>
    </xf>
    <xf numFmtId="0" fontId="20" fillId="4" borderId="4" xfId="31" applyFont="1" applyFill="1" applyBorder="1"/>
    <xf numFmtId="0" fontId="19" fillId="0" borderId="5" xfId="31" applyFont="1" applyBorder="1" applyAlignment="1">
      <alignment horizontal="center"/>
    </xf>
    <xf numFmtId="0" fontId="19" fillId="2" borderId="5" xfId="31" applyFont="1" applyFill="1" applyBorder="1" applyAlignment="1">
      <alignment horizontal="center" vertical="center"/>
    </xf>
    <xf numFmtId="0" fontId="19" fillId="2" borderId="5" xfId="31" applyFont="1" applyFill="1" applyBorder="1" applyAlignment="1">
      <alignment horizontal="left" vertical="center" wrapText="1"/>
    </xf>
    <xf numFmtId="0" fontId="21" fillId="5" borderId="5" xfId="0" applyFont="1" applyFill="1" applyBorder="1" applyAlignment="1">
      <alignment vertical="center"/>
    </xf>
    <xf numFmtId="169" fontId="19" fillId="3" borderId="5" xfId="17" applyNumberFormat="1" applyFont="1" applyFill="1" applyBorder="1"/>
    <xf numFmtId="0" fontId="19" fillId="0" borderId="5" xfId="31" applyFont="1" applyBorder="1" applyAlignment="1">
      <alignment horizontal="center" vertical="center"/>
    </xf>
    <xf numFmtId="0" fontId="19" fillId="4" borderId="6" xfId="31" applyFont="1" applyFill="1" applyBorder="1" applyAlignment="1">
      <alignment horizontal="center"/>
    </xf>
    <xf numFmtId="0" fontId="20" fillId="4" borderId="6" xfId="31" applyFont="1" applyFill="1" applyBorder="1" applyAlignment="1">
      <alignment horizontal="center"/>
    </xf>
    <xf numFmtId="0" fontId="20" fillId="4" borderId="6" xfId="31" applyFont="1" applyFill="1" applyBorder="1" applyAlignment="1">
      <alignment horizontal="left"/>
    </xf>
    <xf numFmtId="0" fontId="20" fillId="4" borderId="6" xfId="31" applyFont="1" applyFill="1" applyBorder="1" applyAlignment="1">
      <alignment horizontal="right"/>
    </xf>
    <xf numFmtId="169" fontId="19" fillId="3" borderId="0" xfId="31" applyNumberFormat="1" applyFont="1" applyFill="1"/>
    <xf numFmtId="0" fontId="19" fillId="0" borderId="4" xfId="31" applyFont="1" applyBorder="1" applyAlignment="1">
      <alignment horizontal="center" vertical="center"/>
    </xf>
    <xf numFmtId="164" fontId="19" fillId="3" borderId="5" xfId="17" applyNumberFormat="1" applyFont="1" applyFill="1" applyBorder="1" applyAlignment="1">
      <alignment vertical="center"/>
    </xf>
    <xf numFmtId="164" fontId="22" fillId="4" borderId="6" xfId="31" applyNumberFormat="1" applyFont="1" applyFill="1" applyBorder="1"/>
    <xf numFmtId="0" fontId="19" fillId="2" borderId="4" xfId="31" applyFont="1" applyFill="1" applyBorder="1" applyAlignment="1">
      <alignment horizontal="center" vertical="center"/>
    </xf>
    <xf numFmtId="0" fontId="19" fillId="2" borderId="4" xfId="31" applyFont="1" applyFill="1" applyBorder="1" applyAlignment="1">
      <alignment horizontal="left" vertical="center" wrapText="1"/>
    </xf>
    <xf numFmtId="0" fontId="21" fillId="5" borderId="4" xfId="0" applyFont="1" applyFill="1" applyBorder="1" applyAlignment="1">
      <alignment vertical="center"/>
    </xf>
    <xf numFmtId="0" fontId="19" fillId="0" borderId="1" xfId="31" applyFont="1" applyBorder="1" applyAlignment="1">
      <alignment horizontal="center" vertical="center"/>
    </xf>
    <xf numFmtId="0" fontId="19" fillId="3" borderId="1" xfId="31" applyFont="1" applyFill="1" applyBorder="1"/>
    <xf numFmtId="0" fontId="19" fillId="3" borderId="1" xfId="31" applyFont="1" applyFill="1" applyBorder="1" applyAlignment="1">
      <alignment horizontal="center"/>
    </xf>
    <xf numFmtId="0" fontId="24" fillId="2" borderId="4" xfId="31" applyFont="1" applyFill="1" applyBorder="1" applyAlignment="1">
      <alignment vertical="center" wrapText="1"/>
    </xf>
    <xf numFmtId="0" fontId="19" fillId="2" borderId="2" xfId="31" applyFont="1" applyFill="1" applyBorder="1" applyAlignment="1">
      <alignment horizontal="center" vertical="center"/>
    </xf>
    <xf numFmtId="0" fontId="19" fillId="3" borderId="11" xfId="105" applyFont="1" applyFill="1" applyBorder="1" applyAlignment="1">
      <alignment horizontal="center" vertical="center"/>
    </xf>
    <xf numFmtId="0" fontId="19" fillId="3" borderId="13" xfId="105" applyFont="1" applyFill="1" applyBorder="1" applyAlignment="1">
      <alignment horizontal="center" vertical="center"/>
    </xf>
    <xf numFmtId="0" fontId="19" fillId="0" borderId="0" xfId="21" applyFont="1" applyAlignment="1">
      <alignment vertical="center"/>
    </xf>
    <xf numFmtId="0" fontId="19" fillId="0" borderId="15" xfId="105" applyFont="1" applyBorder="1" applyAlignment="1">
      <alignment horizontal="center" vertical="center"/>
    </xf>
    <xf numFmtId="0" fontId="19" fillId="6" borderId="16" xfId="105" applyFont="1" applyFill="1" applyBorder="1" applyAlignment="1">
      <alignment horizontal="center" vertical="center"/>
    </xf>
    <xf numFmtId="0" fontId="19" fillId="6" borderId="18" xfId="105" applyFont="1" applyFill="1" applyBorder="1" applyAlignment="1">
      <alignment horizontal="center" vertical="center"/>
    </xf>
    <xf numFmtId="0" fontId="19" fillId="3" borderId="19" xfId="105" applyFont="1" applyFill="1" applyBorder="1" applyAlignment="1">
      <alignment vertical="center"/>
    </xf>
    <xf numFmtId="0" fontId="19" fillId="3" borderId="0" xfId="105" applyFont="1" applyFill="1" applyAlignment="1">
      <alignment vertical="center"/>
    </xf>
    <xf numFmtId="0" fontId="19" fillId="3" borderId="0" xfId="105" applyFont="1" applyFill="1" applyAlignment="1">
      <alignment horizontal="center" vertical="center"/>
    </xf>
    <xf numFmtId="0" fontId="19" fillId="3" borderId="20" xfId="105" applyFont="1" applyFill="1" applyBorder="1" applyAlignment="1">
      <alignment horizontal="center" vertical="center"/>
    </xf>
    <xf numFmtId="0" fontId="19" fillId="3" borderId="21" xfId="105" applyFont="1" applyFill="1" applyBorder="1" applyAlignment="1">
      <alignment horizontal="center" vertical="center"/>
    </xf>
    <xf numFmtId="0" fontId="19" fillId="3" borderId="22" xfId="105" applyFont="1" applyFill="1" applyBorder="1" applyAlignment="1">
      <alignment horizontal="center" vertical="center"/>
    </xf>
    <xf numFmtId="0" fontId="19" fillId="0" borderId="15" xfId="105" applyFont="1" applyBorder="1" applyAlignment="1">
      <alignment vertical="center"/>
    </xf>
    <xf numFmtId="15" fontId="19" fillId="0" borderId="23" xfId="105" applyNumberFormat="1" applyFont="1" applyBorder="1" applyAlignment="1">
      <alignment horizontal="center" vertical="center"/>
    </xf>
    <xf numFmtId="14" fontId="19" fillId="0" borderId="16" xfId="105" applyNumberFormat="1" applyFont="1" applyBorder="1" applyAlignment="1">
      <alignment horizontal="center" vertical="center"/>
    </xf>
    <xf numFmtId="15" fontId="19" fillId="3" borderId="0" xfId="105" applyNumberFormat="1" applyFont="1" applyFill="1" applyAlignment="1">
      <alignment horizontal="center" vertical="center"/>
    </xf>
    <xf numFmtId="14" fontId="19" fillId="3" borderId="0" xfId="105" applyNumberFormat="1" applyFont="1" applyFill="1" applyAlignment="1">
      <alignment horizontal="center" vertical="center"/>
    </xf>
    <xf numFmtId="14" fontId="19" fillId="3" borderId="24" xfId="105" applyNumberFormat="1" applyFont="1" applyFill="1" applyBorder="1" applyAlignment="1">
      <alignment horizontal="center" vertical="center"/>
    </xf>
    <xf numFmtId="0" fontId="19" fillId="3" borderId="24" xfId="105" applyFont="1" applyFill="1" applyBorder="1" applyAlignment="1">
      <alignment vertical="center"/>
    </xf>
    <xf numFmtId="0" fontId="19" fillId="3" borderId="25" xfId="105" applyFont="1" applyFill="1" applyBorder="1" applyAlignment="1">
      <alignment vertical="center"/>
    </xf>
    <xf numFmtId="0" fontId="19" fillId="3" borderId="26" xfId="105" applyFont="1" applyFill="1" applyBorder="1" applyAlignment="1">
      <alignment vertical="center"/>
    </xf>
    <xf numFmtId="0" fontId="19" fillId="3" borderId="27" xfId="105" applyFont="1" applyFill="1" applyBorder="1" applyAlignment="1">
      <alignment vertical="center"/>
    </xf>
    <xf numFmtId="0" fontId="19" fillId="3" borderId="32" xfId="105" applyFont="1" applyFill="1" applyBorder="1" applyAlignment="1">
      <alignment horizontal="center" vertical="center"/>
    </xf>
    <xf numFmtId="0" fontId="19" fillId="3" borderId="17" xfId="105" applyFont="1" applyFill="1" applyBorder="1" applyAlignment="1">
      <alignment horizontal="centerContinuous" vertical="center"/>
    </xf>
    <xf numFmtId="0" fontId="19" fillId="3" borderId="15" xfId="105" applyFont="1" applyFill="1" applyBorder="1" applyAlignment="1">
      <alignment horizontal="centerContinuous" vertical="center"/>
    </xf>
    <xf numFmtId="0" fontId="19" fillId="3" borderId="16" xfId="105" applyFont="1" applyFill="1" applyBorder="1" applyAlignment="1">
      <alignment horizontal="centerContinuous" vertical="center"/>
    </xf>
    <xf numFmtId="0" fontId="19" fillId="3" borderId="16" xfId="105" applyFont="1" applyFill="1" applyBorder="1" applyAlignment="1">
      <alignment horizontal="center" vertical="center"/>
    </xf>
    <xf numFmtId="0" fontId="19" fillId="3" borderId="34" xfId="105" applyFont="1" applyFill="1" applyBorder="1" applyAlignment="1">
      <alignment horizontal="center" vertical="center" wrapText="1"/>
    </xf>
    <xf numFmtId="0" fontId="19" fillId="3" borderId="1" xfId="105" applyFont="1" applyFill="1" applyBorder="1" applyAlignment="1">
      <alignment horizontal="center" vertical="center"/>
    </xf>
    <xf numFmtId="0" fontId="19" fillId="3" borderId="34" xfId="105" applyFont="1" applyFill="1" applyBorder="1" applyAlignment="1">
      <alignment horizontal="center" vertical="center"/>
    </xf>
    <xf numFmtId="0" fontId="19" fillId="3" borderId="23" xfId="105" applyFont="1" applyFill="1" applyBorder="1" applyAlignment="1">
      <alignment horizontal="center" vertical="center"/>
    </xf>
    <xf numFmtId="0" fontId="19" fillId="3" borderId="36" xfId="105" applyFont="1" applyFill="1" applyBorder="1" applyAlignment="1">
      <alignment vertical="center"/>
    </xf>
    <xf numFmtId="0" fontId="19" fillId="3" borderId="37" xfId="105" quotePrefix="1" applyFont="1" applyFill="1" applyBorder="1" applyAlignment="1">
      <alignment horizontal="centerContinuous" vertical="center"/>
    </xf>
    <xf numFmtId="0" fontId="19" fillId="3" borderId="38" xfId="105" applyFont="1" applyFill="1" applyBorder="1" applyAlignment="1">
      <alignment horizontal="centerContinuous" vertical="center"/>
    </xf>
    <xf numFmtId="0" fontId="19" fillId="3" borderId="39" xfId="105" applyFont="1" applyFill="1" applyBorder="1" applyAlignment="1">
      <alignment horizontal="centerContinuous" vertical="center"/>
    </xf>
    <xf numFmtId="0" fontId="19" fillId="3" borderId="40" xfId="105" applyFont="1" applyFill="1" applyBorder="1" applyAlignment="1">
      <alignment vertical="center"/>
    </xf>
    <xf numFmtId="0" fontId="19" fillId="3" borderId="37" xfId="105" applyFont="1" applyFill="1" applyBorder="1" applyAlignment="1">
      <alignment horizontal="left" vertical="center"/>
    </xf>
    <xf numFmtId="0" fontId="19" fillId="3" borderId="38" xfId="105" applyFont="1" applyFill="1" applyBorder="1" applyAlignment="1">
      <alignment horizontal="left" vertical="center"/>
    </xf>
    <xf numFmtId="0" fontId="19" fillId="3" borderId="39" xfId="105" applyFont="1" applyFill="1" applyBorder="1" applyAlignment="1">
      <alignment horizontal="center" vertical="center"/>
    </xf>
    <xf numFmtId="43" fontId="19" fillId="3" borderId="41" xfId="6" applyFont="1" applyFill="1" applyBorder="1" applyAlignment="1">
      <alignment horizontal="center" vertical="center"/>
    </xf>
    <xf numFmtId="3" fontId="22" fillId="3" borderId="42" xfId="6" quotePrefix="1" applyNumberFormat="1" applyFont="1" applyFill="1" applyBorder="1" applyAlignment="1">
      <alignment vertical="center"/>
    </xf>
    <xf numFmtId="4" fontId="19" fillId="3" borderId="36" xfId="6" quotePrefix="1" applyNumberFormat="1" applyFont="1" applyFill="1" applyBorder="1" applyAlignment="1">
      <alignment horizontal="right" vertical="center"/>
    </xf>
    <xf numFmtId="0" fontId="19" fillId="3" borderId="43" xfId="105" quotePrefix="1" applyFont="1" applyFill="1" applyBorder="1" applyAlignment="1">
      <alignment horizontal="center" vertical="center"/>
    </xf>
    <xf numFmtId="0" fontId="19" fillId="3" borderId="44" xfId="105" quotePrefix="1" applyFont="1" applyFill="1" applyBorder="1" applyAlignment="1">
      <alignment horizontal="left" vertical="center"/>
    </xf>
    <xf numFmtId="0" fontId="19" fillId="3" borderId="45" xfId="105" quotePrefix="1" applyFont="1" applyFill="1" applyBorder="1" applyAlignment="1">
      <alignment horizontal="left" vertical="center"/>
    </xf>
    <xf numFmtId="0" fontId="19" fillId="3" borderId="46" xfId="105" quotePrefix="1" applyFont="1" applyFill="1" applyBorder="1" applyAlignment="1">
      <alignment horizontal="left" vertical="center"/>
    </xf>
    <xf numFmtId="0" fontId="19" fillId="3" borderId="47" xfId="105" applyFont="1" applyFill="1" applyBorder="1" applyAlignment="1">
      <alignment horizontal="left" vertical="center"/>
    </xf>
    <xf numFmtId="0" fontId="19" fillId="3" borderId="42" xfId="105" applyFont="1" applyFill="1" applyBorder="1" applyAlignment="1">
      <alignment horizontal="left" vertical="center"/>
    </xf>
    <xf numFmtId="0" fontId="19" fillId="3" borderId="40" xfId="105" applyFont="1" applyFill="1" applyBorder="1" applyAlignment="1">
      <alignment horizontal="center" vertical="center"/>
    </xf>
    <xf numFmtId="43" fontId="19" fillId="3" borderId="36" xfId="6" applyFont="1" applyFill="1" applyBorder="1" applyAlignment="1">
      <alignment horizontal="center" vertical="center"/>
    </xf>
    <xf numFmtId="2" fontId="19" fillId="3" borderId="36" xfId="6" applyNumberFormat="1" applyFont="1" applyFill="1" applyBorder="1" applyAlignment="1">
      <alignment horizontal="center" vertical="center"/>
    </xf>
    <xf numFmtId="0" fontId="19" fillId="3" borderId="40" xfId="105" applyFont="1" applyFill="1" applyBorder="1" applyAlignment="1">
      <alignment vertical="center" wrapText="1"/>
    </xf>
    <xf numFmtId="11" fontId="19" fillId="3" borderId="45" xfId="105" applyNumberFormat="1" applyFont="1" applyFill="1" applyBorder="1" applyAlignment="1">
      <alignment horizontal="left" vertical="center"/>
    </xf>
    <xf numFmtId="11" fontId="19" fillId="3" borderId="46" xfId="105" applyNumberFormat="1" applyFont="1" applyFill="1" applyBorder="1" applyAlignment="1">
      <alignment horizontal="center" vertical="center" wrapText="1"/>
    </xf>
    <xf numFmtId="43" fontId="19" fillId="0" borderId="43" xfId="6" applyFont="1" applyFill="1" applyBorder="1" applyAlignment="1">
      <alignment horizontal="center" vertical="center" wrapText="1"/>
    </xf>
    <xf numFmtId="2" fontId="19" fillId="0" borderId="43" xfId="6" applyNumberFormat="1" applyFont="1" applyFill="1" applyBorder="1" applyAlignment="1">
      <alignment horizontal="center" vertical="center" wrapText="1"/>
    </xf>
    <xf numFmtId="166" fontId="19" fillId="3" borderId="36" xfId="15" applyFont="1" applyFill="1" applyBorder="1" applyAlignment="1">
      <alignment vertical="center"/>
    </xf>
    <xf numFmtId="0" fontId="19" fillId="3" borderId="43" xfId="21" applyFont="1" applyFill="1" applyBorder="1" applyAlignment="1">
      <alignment horizontal="left" vertical="center"/>
    </xf>
    <xf numFmtId="43" fontId="19" fillId="3" borderId="43" xfId="6" applyFont="1" applyFill="1" applyBorder="1" applyAlignment="1">
      <alignment horizontal="center" vertical="center"/>
    </xf>
    <xf numFmtId="2" fontId="19" fillId="3" borderId="43" xfId="6" applyNumberFormat="1" applyFont="1" applyFill="1" applyBorder="1" applyAlignment="1">
      <alignment horizontal="center" vertical="center"/>
    </xf>
    <xf numFmtId="4" fontId="19" fillId="3" borderId="43" xfId="6" applyNumberFormat="1" applyFont="1" applyFill="1" applyBorder="1" applyAlignment="1">
      <alignment horizontal="right" vertical="center"/>
    </xf>
    <xf numFmtId="0" fontId="19" fillId="3" borderId="44" xfId="21" applyFont="1" applyFill="1" applyBorder="1" applyAlignment="1">
      <alignment horizontal="left" vertical="center"/>
    </xf>
    <xf numFmtId="166" fontId="19" fillId="3" borderId="48" xfId="15" applyFont="1" applyFill="1" applyBorder="1" applyAlignment="1">
      <alignment horizontal="right" vertical="center"/>
    </xf>
    <xf numFmtId="4" fontId="19" fillId="3" borderId="48" xfId="6" applyNumberFormat="1" applyFont="1" applyFill="1" applyBorder="1" applyAlignment="1">
      <alignment horizontal="right" vertical="center"/>
    </xf>
    <xf numFmtId="3" fontId="22" fillId="0" borderId="49" xfId="6" quotePrefix="1" applyNumberFormat="1" applyFont="1" applyFill="1" applyBorder="1" applyAlignment="1">
      <alignment horizontal="right" vertical="center"/>
    </xf>
    <xf numFmtId="11" fontId="19" fillId="3" borderId="43" xfId="105" applyNumberFormat="1" applyFont="1" applyFill="1" applyBorder="1" applyAlignment="1">
      <alignment horizontal="center" vertical="center"/>
    </xf>
    <xf numFmtId="2" fontId="19" fillId="3" borderId="48" xfId="6" applyNumberFormat="1" applyFont="1" applyFill="1" applyBorder="1" applyAlignment="1">
      <alignment vertical="center"/>
    </xf>
    <xf numFmtId="0" fontId="19" fillId="3" borderId="44" xfId="21" applyFont="1" applyFill="1" applyBorder="1" applyAlignment="1">
      <alignment horizontal="center" vertical="center"/>
    </xf>
    <xf numFmtId="0" fontId="19" fillId="3" borderId="43" xfId="105" applyFont="1" applyFill="1" applyBorder="1" applyAlignment="1">
      <alignment horizontal="center" vertical="center"/>
    </xf>
    <xf numFmtId="0" fontId="19" fillId="3" borderId="48" xfId="105" applyFont="1" applyFill="1" applyBorder="1" applyAlignment="1">
      <alignment horizontal="center" vertical="center"/>
    </xf>
    <xf numFmtId="0" fontId="19" fillId="3" borderId="50" xfId="105" quotePrefix="1" applyFont="1" applyFill="1" applyBorder="1" applyAlignment="1">
      <alignment horizontal="left" vertical="center"/>
    </xf>
    <xf numFmtId="0" fontId="19" fillId="3" borderId="49" xfId="105" quotePrefix="1" applyFont="1" applyFill="1" applyBorder="1" applyAlignment="1">
      <alignment horizontal="left" vertical="center"/>
    </xf>
    <xf numFmtId="3" fontId="22" fillId="3" borderId="49" xfId="6" quotePrefix="1" applyNumberFormat="1" applyFont="1" applyFill="1" applyBorder="1" applyAlignment="1">
      <alignment horizontal="right" vertical="center" wrapText="1"/>
    </xf>
    <xf numFmtId="4" fontId="19" fillId="3" borderId="48" xfId="6" quotePrefix="1" applyNumberFormat="1" applyFont="1" applyFill="1" applyBorder="1" applyAlignment="1">
      <alignment horizontal="right" vertical="center"/>
    </xf>
    <xf numFmtId="0" fontId="19" fillId="3" borderId="48" xfId="21" applyFont="1" applyFill="1" applyBorder="1" applyAlignment="1">
      <alignment horizontal="left" vertical="center"/>
    </xf>
    <xf numFmtId="0" fontId="19" fillId="3" borderId="50" xfId="21" applyFont="1" applyFill="1" applyBorder="1" applyAlignment="1">
      <alignment horizontal="left" vertical="center"/>
    </xf>
    <xf numFmtId="11" fontId="19" fillId="3" borderId="49" xfId="105" applyNumberFormat="1" applyFont="1" applyFill="1" applyBorder="1" applyAlignment="1">
      <alignment horizontal="left" vertical="center"/>
    </xf>
    <xf numFmtId="11" fontId="19" fillId="3" borderId="51" xfId="105" applyNumberFormat="1" applyFont="1" applyFill="1" applyBorder="1" applyAlignment="1">
      <alignment horizontal="center" vertical="center" wrapText="1"/>
    </xf>
    <xf numFmtId="11" fontId="19" fillId="3" borderId="48" xfId="105" applyNumberFormat="1" applyFont="1" applyFill="1" applyBorder="1" applyAlignment="1">
      <alignment horizontal="center" vertical="center"/>
    </xf>
    <xf numFmtId="0" fontId="19" fillId="3" borderId="52" xfId="105" quotePrefix="1" applyFont="1" applyFill="1" applyBorder="1" applyAlignment="1">
      <alignment horizontal="center" vertical="center"/>
    </xf>
    <xf numFmtId="0" fontId="19" fillId="3" borderId="53" xfId="105" quotePrefix="1" applyFont="1" applyFill="1" applyBorder="1" applyAlignment="1">
      <alignment horizontal="left" vertical="center"/>
    </xf>
    <xf numFmtId="0" fontId="19" fillId="3" borderId="54" xfId="105" quotePrefix="1" applyFont="1" applyFill="1" applyBorder="1" applyAlignment="1">
      <alignment horizontal="left" vertical="center"/>
    </xf>
    <xf numFmtId="0" fontId="19" fillId="3" borderId="52" xfId="21" applyFont="1" applyFill="1" applyBorder="1" applyAlignment="1">
      <alignment horizontal="left" vertical="center"/>
    </xf>
    <xf numFmtId="0" fontId="19" fillId="3" borderId="53" xfId="21" applyFont="1" applyFill="1" applyBorder="1" applyAlignment="1">
      <alignment horizontal="left" vertical="center"/>
    </xf>
    <xf numFmtId="11" fontId="19" fillId="3" borderId="54" xfId="105" applyNumberFormat="1" applyFont="1" applyFill="1" applyBorder="1" applyAlignment="1">
      <alignment horizontal="left" vertical="center"/>
    </xf>
    <xf numFmtId="11" fontId="19" fillId="3" borderId="55" xfId="105" applyNumberFormat="1" applyFont="1" applyFill="1" applyBorder="1" applyAlignment="1">
      <alignment horizontal="center" vertical="center" wrapText="1"/>
    </xf>
    <xf numFmtId="11" fontId="19" fillId="3" borderId="52" xfId="105" applyNumberFormat="1" applyFont="1" applyFill="1" applyBorder="1" applyAlignment="1">
      <alignment horizontal="center" vertical="center"/>
    </xf>
    <xf numFmtId="2" fontId="19" fillId="3" borderId="52" xfId="6" applyNumberFormat="1" applyFont="1" applyFill="1" applyBorder="1" applyAlignment="1">
      <alignment vertical="center"/>
    </xf>
    <xf numFmtId="3" fontId="19" fillId="3" borderId="54" xfId="6" quotePrefix="1" applyNumberFormat="1" applyFont="1" applyFill="1" applyBorder="1" applyAlignment="1">
      <alignment horizontal="right" vertical="center"/>
    </xf>
    <xf numFmtId="4" fontId="19" fillId="3" borderId="52" xfId="6" quotePrefix="1" applyNumberFormat="1" applyFont="1" applyFill="1" applyBorder="1" applyAlignment="1">
      <alignment horizontal="right" vertical="center"/>
    </xf>
    <xf numFmtId="0" fontId="20" fillId="4" borderId="56" xfId="105" applyFont="1" applyFill="1" applyBorder="1" applyAlignment="1">
      <alignment vertical="center"/>
    </xf>
    <xf numFmtId="0" fontId="20" fillId="4" borderId="0" xfId="105" quotePrefix="1" applyFont="1" applyFill="1" applyAlignment="1">
      <alignment horizontal="centerContinuous" vertical="center"/>
    </xf>
    <xf numFmtId="0" fontId="20" fillId="4" borderId="0" xfId="105" applyFont="1" applyFill="1" applyAlignment="1">
      <alignment horizontal="centerContinuous" vertical="center"/>
    </xf>
    <xf numFmtId="0" fontId="20" fillId="4" borderId="0" xfId="105" applyFont="1" applyFill="1" applyAlignment="1">
      <alignment vertical="center"/>
    </xf>
    <xf numFmtId="0" fontId="20" fillId="4" borderId="0" xfId="105" quotePrefix="1" applyFont="1" applyFill="1" applyAlignment="1">
      <alignment horizontal="left" vertical="center"/>
    </xf>
    <xf numFmtId="170" fontId="20" fillId="4" borderId="0" xfId="6" applyNumberFormat="1" applyFont="1" applyFill="1" applyBorder="1" applyAlignment="1">
      <alignment horizontal="left" vertical="center"/>
    </xf>
    <xf numFmtId="2" fontId="20" fillId="4" borderId="0" xfId="6" applyNumberFormat="1" applyFont="1" applyFill="1" applyBorder="1" applyAlignment="1">
      <alignment horizontal="center" vertical="center"/>
    </xf>
    <xf numFmtId="169" fontId="20" fillId="7" borderId="0" xfId="15" applyNumberFormat="1" applyFont="1" applyFill="1" applyBorder="1" applyAlignment="1">
      <alignment horizontal="centerContinuous" vertical="center"/>
    </xf>
    <xf numFmtId="169" fontId="20" fillId="4" borderId="20" xfId="15" quotePrefix="1" applyNumberFormat="1" applyFont="1" applyFill="1" applyBorder="1" applyAlignment="1">
      <alignment horizontal="right" vertical="center"/>
    </xf>
    <xf numFmtId="0" fontId="19" fillId="3" borderId="57" xfId="105" applyFont="1" applyFill="1" applyBorder="1" applyAlignment="1">
      <alignment vertical="center"/>
    </xf>
    <xf numFmtId="0" fontId="19" fillId="3" borderId="58" xfId="105" applyFont="1" applyFill="1" applyBorder="1" applyAlignment="1">
      <alignment horizontal="centerContinuous" vertical="center"/>
    </xf>
    <xf numFmtId="0" fontId="19" fillId="3" borderId="58" xfId="105" applyFont="1" applyFill="1" applyBorder="1" applyAlignment="1">
      <alignment vertical="center"/>
    </xf>
    <xf numFmtId="0" fontId="19" fillId="3" borderId="58" xfId="105" quotePrefix="1" applyFont="1" applyFill="1" applyBorder="1" applyAlignment="1">
      <alignment horizontal="left" vertical="center"/>
    </xf>
    <xf numFmtId="170" fontId="19" fillId="3" borderId="58" xfId="6" applyNumberFormat="1" applyFont="1" applyFill="1" applyBorder="1" applyAlignment="1">
      <alignment horizontal="left" vertical="center"/>
    </xf>
    <xf numFmtId="170" fontId="19" fillId="3" borderId="58" xfId="6" applyNumberFormat="1" applyFont="1" applyFill="1" applyBorder="1" applyAlignment="1">
      <alignment vertical="center"/>
    </xf>
    <xf numFmtId="169" fontId="19" fillId="3" borderId="58" xfId="6" applyNumberFormat="1" applyFont="1" applyFill="1" applyBorder="1" applyAlignment="1">
      <alignment horizontal="centerContinuous" vertical="center"/>
    </xf>
    <xf numFmtId="169" fontId="19" fillId="3" borderId="28" xfId="6" quotePrefix="1" applyNumberFormat="1" applyFont="1" applyFill="1" applyBorder="1" applyAlignment="1">
      <alignment horizontal="right" vertical="center"/>
    </xf>
    <xf numFmtId="0" fontId="19" fillId="3" borderId="44" xfId="105" applyFont="1" applyFill="1" applyBorder="1" applyAlignment="1">
      <alignment vertical="center"/>
    </xf>
    <xf numFmtId="0" fontId="19" fillId="3" borderId="42" xfId="105" quotePrefix="1" applyFont="1" applyFill="1" applyBorder="1" applyAlignment="1">
      <alignment horizontal="center" vertical="center"/>
    </xf>
    <xf numFmtId="0" fontId="19" fillId="3" borderId="45" xfId="105" applyFont="1" applyFill="1" applyBorder="1" applyAlignment="1">
      <alignment vertical="center"/>
    </xf>
    <xf numFmtId="9" fontId="19" fillId="3" borderId="45" xfId="105" applyNumberFormat="1" applyFont="1" applyFill="1" applyBorder="1" applyAlignment="1">
      <alignment vertical="center"/>
    </xf>
    <xf numFmtId="0" fontId="22" fillId="3" borderId="45" xfId="105" applyFont="1" applyFill="1" applyBorder="1" applyAlignment="1">
      <alignment vertical="center"/>
    </xf>
    <xf numFmtId="0" fontId="19" fillId="3" borderId="42" xfId="105" applyFont="1" applyFill="1" applyBorder="1" applyAlignment="1">
      <alignment horizontal="right" vertical="center"/>
    </xf>
    <xf numFmtId="166" fontId="19" fillId="3" borderId="42" xfId="6" applyNumberFormat="1" applyFont="1" applyFill="1" applyBorder="1" applyAlignment="1">
      <alignment vertical="center"/>
    </xf>
    <xf numFmtId="170" fontId="19" fillId="3" borderId="42" xfId="6" applyNumberFormat="1" applyFont="1" applyFill="1" applyBorder="1" applyAlignment="1">
      <alignment vertical="center"/>
    </xf>
    <xf numFmtId="169" fontId="19" fillId="3" borderId="42" xfId="6" applyNumberFormat="1" applyFont="1" applyFill="1" applyBorder="1" applyAlignment="1">
      <alignment vertical="center"/>
    </xf>
    <xf numFmtId="0" fontId="19" fillId="3" borderId="59" xfId="105" applyFont="1" applyFill="1" applyBorder="1" applyAlignment="1">
      <alignment vertical="center"/>
    </xf>
    <xf numFmtId="0" fontId="19" fillId="3" borderId="60" xfId="105" applyFont="1" applyFill="1" applyBorder="1" applyAlignment="1">
      <alignment horizontal="center" vertical="center"/>
    </xf>
    <xf numFmtId="0" fontId="19" fillId="3" borderId="60" xfId="105" quotePrefix="1" applyFont="1" applyFill="1" applyBorder="1" applyAlignment="1">
      <alignment horizontal="center" vertical="center"/>
    </xf>
    <xf numFmtId="0" fontId="19" fillId="3" borderId="60" xfId="105" applyFont="1" applyFill="1" applyBorder="1" applyAlignment="1">
      <alignment horizontal="left" vertical="center"/>
    </xf>
    <xf numFmtId="0" fontId="19" fillId="3" borderId="60" xfId="105" applyFont="1" applyFill="1" applyBorder="1" applyAlignment="1">
      <alignment vertical="center"/>
    </xf>
    <xf numFmtId="9" fontId="19" fillId="3" borderId="60" xfId="105" applyNumberFormat="1" applyFont="1" applyFill="1" applyBorder="1" applyAlignment="1">
      <alignment vertical="center"/>
    </xf>
    <xf numFmtId="0" fontId="19" fillId="3" borderId="60" xfId="105" applyFont="1" applyFill="1" applyBorder="1" applyAlignment="1">
      <alignment horizontal="right" vertical="center"/>
    </xf>
    <xf numFmtId="166" fontId="19" fillId="3" borderId="60" xfId="6" applyNumberFormat="1" applyFont="1" applyFill="1" applyBorder="1" applyAlignment="1">
      <alignment vertical="center"/>
    </xf>
    <xf numFmtId="170" fontId="19" fillId="3" borderId="60" xfId="6" applyNumberFormat="1" applyFont="1" applyFill="1" applyBorder="1" applyAlignment="1">
      <alignment vertical="center"/>
    </xf>
    <xf numFmtId="169" fontId="19" fillId="3" borderId="60" xfId="6" applyNumberFormat="1" applyFont="1" applyFill="1" applyBorder="1" applyAlignment="1">
      <alignment vertical="center"/>
    </xf>
    <xf numFmtId="169" fontId="19" fillId="3" borderId="33" xfId="15" quotePrefix="1" applyNumberFormat="1" applyFont="1" applyFill="1" applyBorder="1" applyAlignment="1">
      <alignment horizontal="center" vertical="center"/>
    </xf>
    <xf numFmtId="0" fontId="19" fillId="3" borderId="56" xfId="105" applyFont="1" applyFill="1" applyBorder="1" applyAlignment="1">
      <alignment vertical="center"/>
    </xf>
    <xf numFmtId="0" fontId="19" fillId="0" borderId="42" xfId="21" applyFont="1" applyBorder="1" applyAlignment="1">
      <alignment horizontal="left" vertical="center"/>
    </xf>
    <xf numFmtId="0" fontId="19" fillId="3" borderId="42" xfId="105" applyFont="1" applyFill="1" applyBorder="1" applyAlignment="1">
      <alignment vertical="center"/>
    </xf>
    <xf numFmtId="171" fontId="20" fillId="0" borderId="0" xfId="21" applyNumberFormat="1" applyFont="1" applyAlignment="1">
      <alignment vertical="center"/>
    </xf>
    <xf numFmtId="169" fontId="19" fillId="3" borderId="0" xfId="6" applyNumberFormat="1" applyFont="1" applyFill="1" applyBorder="1" applyAlignment="1">
      <alignment vertical="center"/>
    </xf>
    <xf numFmtId="170" fontId="19" fillId="3" borderId="0" xfId="6" applyNumberFormat="1" applyFont="1" applyFill="1" applyBorder="1" applyAlignment="1">
      <alignment vertical="center"/>
    </xf>
    <xf numFmtId="169" fontId="19" fillId="3" borderId="20" xfId="6" quotePrefix="1" applyNumberFormat="1" applyFont="1" applyFill="1" applyBorder="1" applyAlignment="1">
      <alignment horizontal="right" vertical="center"/>
    </xf>
    <xf numFmtId="0" fontId="19" fillId="3" borderId="50" xfId="105" applyFont="1" applyFill="1" applyBorder="1" applyAlignment="1">
      <alignment vertical="center"/>
    </xf>
    <xf numFmtId="0" fontId="19" fillId="3" borderId="45" xfId="105" quotePrefix="1" applyFont="1" applyFill="1" applyBorder="1" applyAlignment="1">
      <alignment horizontal="center" vertical="center"/>
    </xf>
    <xf numFmtId="0" fontId="19" fillId="3" borderId="42" xfId="105" applyFont="1" applyFill="1" applyBorder="1" applyAlignment="1">
      <alignment horizontal="centerContinuous" vertical="center"/>
    </xf>
    <xf numFmtId="0" fontId="19" fillId="0" borderId="45" xfId="21" applyFont="1" applyBorder="1" applyAlignment="1">
      <alignment horizontal="left" vertical="center"/>
    </xf>
    <xf numFmtId="171" fontId="19" fillId="0" borderId="45" xfId="21" applyNumberFormat="1" applyFont="1" applyBorder="1" applyAlignment="1">
      <alignment vertical="center"/>
    </xf>
    <xf numFmtId="169" fontId="19" fillId="3" borderId="45" xfId="6" applyNumberFormat="1" applyFont="1" applyFill="1" applyBorder="1" applyAlignment="1">
      <alignment vertical="center"/>
    </xf>
    <xf numFmtId="170" fontId="19" fillId="3" borderId="49" xfId="6" applyNumberFormat="1" applyFont="1" applyFill="1" applyBorder="1" applyAlignment="1">
      <alignment vertical="center"/>
    </xf>
    <xf numFmtId="169" fontId="19" fillId="3" borderId="49" xfId="6" applyNumberFormat="1" applyFont="1" applyFill="1" applyBorder="1" applyAlignment="1">
      <alignment vertical="center"/>
    </xf>
    <xf numFmtId="169" fontId="19" fillId="3" borderId="48" xfId="15" quotePrefix="1" applyNumberFormat="1" applyFont="1" applyFill="1" applyBorder="1" applyAlignment="1">
      <alignment horizontal="right" vertical="center"/>
    </xf>
    <xf numFmtId="169" fontId="19" fillId="3" borderId="48" xfId="6" quotePrefix="1" applyNumberFormat="1" applyFont="1" applyFill="1" applyBorder="1" applyAlignment="1">
      <alignment horizontal="right" vertical="center"/>
    </xf>
    <xf numFmtId="0" fontId="19" fillId="3" borderId="45" xfId="105" applyFont="1" applyFill="1" applyBorder="1" applyAlignment="1">
      <alignment horizontal="centerContinuous" vertical="center"/>
    </xf>
    <xf numFmtId="0" fontId="19" fillId="3" borderId="49" xfId="105" quotePrefix="1" applyFont="1" applyFill="1" applyBorder="1" applyAlignment="1">
      <alignment horizontal="center" vertical="center"/>
    </xf>
    <xf numFmtId="0" fontId="19" fillId="3" borderId="49" xfId="105" applyFont="1" applyFill="1" applyBorder="1" applyAlignment="1">
      <alignment horizontal="centerContinuous" vertical="center"/>
    </xf>
    <xf numFmtId="0" fontId="19" fillId="0" borderId="49" xfId="21" applyFont="1" applyBorder="1" applyAlignment="1">
      <alignment horizontal="left" vertical="center"/>
    </xf>
    <xf numFmtId="0" fontId="19" fillId="3" borderId="49" xfId="105" applyFont="1" applyFill="1" applyBorder="1" applyAlignment="1">
      <alignment vertical="center"/>
    </xf>
    <xf numFmtId="171" fontId="19" fillId="0" borderId="49" xfId="21" applyNumberFormat="1" applyFont="1" applyBorder="1" applyAlignment="1">
      <alignment vertical="center"/>
    </xf>
    <xf numFmtId="0" fontId="19" fillId="3" borderId="60" xfId="105" applyFont="1" applyFill="1" applyBorder="1" applyAlignment="1">
      <alignment horizontal="centerContinuous" vertical="center"/>
    </xf>
    <xf numFmtId="0" fontId="19" fillId="0" borderId="60" xfId="21" applyFont="1" applyBorder="1" applyAlignment="1">
      <alignment horizontal="left" vertical="center"/>
    </xf>
    <xf numFmtId="171" fontId="20" fillId="0" borderId="60" xfId="21" applyNumberFormat="1" applyFont="1" applyBorder="1" applyAlignment="1">
      <alignment vertical="center"/>
    </xf>
    <xf numFmtId="169" fontId="19" fillId="3" borderId="33" xfId="6" quotePrefix="1" applyNumberFormat="1" applyFont="1" applyFill="1" applyBorder="1" applyAlignment="1">
      <alignment horizontal="right" vertical="center"/>
    </xf>
    <xf numFmtId="0" fontId="19" fillId="3" borderId="47" xfId="105" applyFont="1" applyFill="1" applyBorder="1" applyAlignment="1">
      <alignment vertical="center"/>
    </xf>
    <xf numFmtId="166" fontId="19" fillId="3" borderId="0" xfId="6" applyNumberFormat="1" applyFont="1" applyFill="1" applyBorder="1" applyAlignment="1">
      <alignment vertical="center"/>
    </xf>
    <xf numFmtId="0" fontId="19" fillId="3" borderId="45" xfId="105" applyFont="1" applyFill="1" applyBorder="1" applyAlignment="1">
      <alignment horizontal="left" vertical="center"/>
    </xf>
    <xf numFmtId="171" fontId="20" fillId="0" borderId="49" xfId="21" applyNumberFormat="1" applyFont="1" applyBorder="1" applyAlignment="1">
      <alignment vertical="center"/>
    </xf>
    <xf numFmtId="166" fontId="19" fillId="3" borderId="49" xfId="6" applyNumberFormat="1" applyFont="1" applyFill="1" applyBorder="1" applyAlignment="1">
      <alignment vertical="center"/>
    </xf>
    <xf numFmtId="169" fontId="19" fillId="3" borderId="33" xfId="15" quotePrefix="1" applyNumberFormat="1" applyFont="1" applyFill="1" applyBorder="1" applyAlignment="1">
      <alignment horizontal="right" vertical="center"/>
    </xf>
    <xf numFmtId="9" fontId="19" fillId="0" borderId="0" xfId="21" applyNumberFormat="1" applyFont="1" applyAlignment="1">
      <alignment vertical="center"/>
    </xf>
    <xf numFmtId="169" fontId="22" fillId="3" borderId="60" xfId="6" applyNumberFormat="1" applyFont="1" applyFill="1" applyBorder="1" applyAlignment="1">
      <alignment vertical="center"/>
    </xf>
    <xf numFmtId="169" fontId="19" fillId="3" borderId="0" xfId="6" applyNumberFormat="1" applyFont="1" applyFill="1" applyAlignment="1">
      <alignment horizontal="center" vertical="center"/>
    </xf>
    <xf numFmtId="169" fontId="19" fillId="3" borderId="1" xfId="15" applyNumberFormat="1" applyFont="1" applyFill="1" applyBorder="1" applyAlignment="1">
      <alignment vertical="center"/>
    </xf>
    <xf numFmtId="169" fontId="19" fillId="3" borderId="23" xfId="15" applyNumberFormat="1" applyFont="1" applyFill="1" applyBorder="1" applyAlignment="1">
      <alignment vertical="center"/>
    </xf>
    <xf numFmtId="169" fontId="19" fillId="3" borderId="0" xfId="6" applyNumberFormat="1" applyFont="1" applyFill="1" applyAlignment="1">
      <alignment vertical="center"/>
    </xf>
    <xf numFmtId="0" fontId="19" fillId="3" borderId="0" xfId="105" applyFont="1" applyFill="1" applyAlignment="1">
      <alignment horizontal="left" vertical="center"/>
    </xf>
    <xf numFmtId="169" fontId="19" fillId="3" borderId="0" xfId="105" applyNumberFormat="1" applyFont="1" applyFill="1" applyAlignment="1">
      <alignment vertical="center"/>
    </xf>
    <xf numFmtId="0" fontId="19" fillId="5" borderId="19" xfId="105" applyFont="1" applyFill="1" applyBorder="1" applyAlignment="1">
      <alignment vertical="center"/>
    </xf>
    <xf numFmtId="0" fontId="19" fillId="5" borderId="0" xfId="105" applyFont="1" applyFill="1" applyAlignment="1">
      <alignment vertical="center"/>
    </xf>
    <xf numFmtId="172" fontId="19" fillId="3" borderId="48" xfId="15" quotePrefix="1" applyNumberFormat="1" applyFont="1" applyFill="1" applyBorder="1" applyAlignment="1">
      <alignment horizontal="center" vertical="center"/>
    </xf>
    <xf numFmtId="0" fontId="19" fillId="8" borderId="45" xfId="105" applyFont="1" applyFill="1" applyBorder="1" applyAlignment="1">
      <alignment vertical="center"/>
    </xf>
    <xf numFmtId="0" fontId="19" fillId="8" borderId="49" xfId="105" applyFont="1" applyFill="1" applyBorder="1" applyAlignment="1">
      <alignment vertical="center"/>
    </xf>
    <xf numFmtId="0" fontId="19" fillId="8" borderId="0" xfId="21" applyFont="1" applyFill="1" applyAlignment="1">
      <alignment vertical="center"/>
    </xf>
    <xf numFmtId="169" fontId="19" fillId="0" borderId="23" xfId="15" applyNumberFormat="1" applyFont="1" applyFill="1" applyBorder="1" applyAlignment="1">
      <alignment vertical="center"/>
    </xf>
    <xf numFmtId="0" fontId="19" fillId="5" borderId="0" xfId="21" applyFont="1" applyFill="1" applyAlignment="1">
      <alignment vertical="center"/>
    </xf>
    <xf numFmtId="0" fontId="20" fillId="4" borderId="7" xfId="31" applyFont="1" applyFill="1" applyBorder="1" applyAlignment="1">
      <alignment horizontal="center" vertical="center"/>
    </xf>
    <xf numFmtId="0" fontId="20" fillId="4" borderId="8" xfId="31" applyFont="1" applyFill="1" applyBorder="1" applyAlignment="1">
      <alignment horizontal="center" vertical="center"/>
    </xf>
    <xf numFmtId="164" fontId="20" fillId="4" borderId="7" xfId="31" applyNumberFormat="1" applyFont="1" applyFill="1" applyBorder="1" applyAlignment="1">
      <alignment horizontal="center" vertical="center"/>
    </xf>
    <xf numFmtId="164" fontId="20" fillId="4" borderId="8" xfId="31" applyNumberFormat="1" applyFont="1" applyFill="1" applyBorder="1" applyAlignment="1">
      <alignment horizontal="center" vertical="center"/>
    </xf>
    <xf numFmtId="0" fontId="19" fillId="3" borderId="45" xfId="105" quotePrefix="1" applyFont="1" applyFill="1" applyBorder="1" applyAlignment="1">
      <alignment horizontal="center" vertical="center"/>
    </xf>
    <xf numFmtId="0" fontId="19" fillId="3" borderId="44" xfId="105" quotePrefix="1" applyFont="1" applyFill="1" applyBorder="1" applyAlignment="1">
      <alignment horizontal="left" vertical="center"/>
    </xf>
    <xf numFmtId="0" fontId="19" fillId="3" borderId="45" xfId="105" quotePrefix="1" applyFont="1" applyFill="1" applyBorder="1" applyAlignment="1">
      <alignment horizontal="left" vertical="center"/>
    </xf>
    <xf numFmtId="0" fontId="19" fillId="3" borderId="46" xfId="105" quotePrefix="1" applyFont="1" applyFill="1" applyBorder="1" applyAlignment="1">
      <alignment horizontal="left" vertical="center"/>
    </xf>
    <xf numFmtId="0" fontId="19" fillId="3" borderId="42" xfId="105" applyFont="1" applyFill="1" applyBorder="1" applyAlignment="1">
      <alignment horizontal="center" vertical="center"/>
    </xf>
    <xf numFmtId="0" fontId="19" fillId="3" borderId="42" xfId="105" quotePrefix="1" applyFont="1" applyFill="1" applyBorder="1" applyAlignment="1">
      <alignment horizontal="center" vertical="center"/>
    </xf>
    <xf numFmtId="0" fontId="19" fillId="3" borderId="12" xfId="105" applyFont="1" applyFill="1" applyBorder="1" applyAlignment="1">
      <alignment horizontal="center" vertical="center"/>
    </xf>
    <xf numFmtId="0" fontId="19" fillId="3" borderId="11" xfId="105" applyFont="1" applyFill="1" applyBorder="1" applyAlignment="1">
      <alignment horizontal="center" vertical="center"/>
    </xf>
    <xf numFmtId="0" fontId="19" fillId="3" borderId="2" xfId="105" applyFont="1" applyFill="1" applyBorder="1" applyAlignment="1">
      <alignment horizontal="center" vertical="center"/>
    </xf>
    <xf numFmtId="0" fontId="19" fillId="3" borderId="35" xfId="105" applyFont="1" applyFill="1" applyBorder="1" applyAlignment="1">
      <alignment horizontal="center" vertical="center"/>
    </xf>
    <xf numFmtId="0" fontId="19" fillId="3" borderId="9" xfId="105" applyFont="1" applyFill="1" applyBorder="1" applyAlignment="1">
      <alignment horizontal="center" vertical="center"/>
    </xf>
    <xf numFmtId="0" fontId="19" fillId="3" borderId="10" xfId="105" applyFont="1" applyFill="1" applyBorder="1" applyAlignment="1">
      <alignment horizontal="center" vertical="center"/>
    </xf>
    <xf numFmtId="0" fontId="19" fillId="5" borderId="14" xfId="105" applyFont="1" applyFill="1" applyBorder="1" applyAlignment="1">
      <alignment horizontal="center" vertical="center"/>
    </xf>
    <xf numFmtId="0" fontId="19" fillId="5" borderId="15" xfId="105" applyFont="1" applyFill="1" applyBorder="1" applyAlignment="1">
      <alignment horizontal="center" vertical="center"/>
    </xf>
    <xf numFmtId="0" fontId="19" fillId="5" borderId="16" xfId="105" applyFont="1" applyFill="1" applyBorder="1" applyAlignment="1">
      <alignment horizontal="center" vertical="center"/>
    </xf>
    <xf numFmtId="0" fontId="19" fillId="0" borderId="17" xfId="105" applyFont="1" applyBorder="1" applyAlignment="1">
      <alignment horizontal="center" vertical="center"/>
    </xf>
    <xf numFmtId="0" fontId="19" fillId="0" borderId="16" xfId="105" applyFont="1" applyBorder="1" applyAlignment="1">
      <alignment horizontal="center" vertical="center"/>
    </xf>
    <xf numFmtId="0" fontId="19" fillId="0" borderId="14" xfId="105" applyFont="1" applyBorder="1" applyAlignment="1">
      <alignment horizontal="center" vertical="center"/>
    </xf>
    <xf numFmtId="0" fontId="19" fillId="0" borderId="15" xfId="105" applyFont="1" applyBorder="1" applyAlignment="1">
      <alignment horizontal="center" vertical="center"/>
    </xf>
    <xf numFmtId="0" fontId="19" fillId="3" borderId="28" xfId="105" applyFont="1" applyFill="1" applyBorder="1" applyAlignment="1">
      <alignment horizontal="center" vertical="center"/>
    </xf>
    <xf numFmtId="0" fontId="19" fillId="3" borderId="33" xfId="105" applyFont="1" applyFill="1" applyBorder="1" applyAlignment="1">
      <alignment horizontal="center" vertical="center"/>
    </xf>
    <xf numFmtId="0" fontId="19" fillId="3" borderId="29" xfId="105" applyFont="1" applyFill="1" applyBorder="1" applyAlignment="1">
      <alignment horizontal="center" vertical="center"/>
    </xf>
    <xf numFmtId="0" fontId="19" fillId="3" borderId="30" xfId="105" applyFont="1" applyFill="1" applyBorder="1" applyAlignment="1">
      <alignment horizontal="center" vertical="center"/>
    </xf>
    <xf numFmtId="0" fontId="19" fillId="3" borderId="31" xfId="105" applyFont="1" applyFill="1" applyBorder="1" applyAlignment="1">
      <alignment horizontal="center" vertical="center"/>
    </xf>
    <xf numFmtId="0" fontId="25" fillId="9" borderId="0" xfId="0" applyFont="1" applyFill="1" applyBorder="1" applyAlignment="1">
      <alignment horizontal="left"/>
    </xf>
    <xf numFmtId="0" fontId="25" fillId="9" borderId="0" xfId="0" applyFont="1" applyFill="1" applyBorder="1"/>
  </cellXfs>
  <cellStyles count="106">
    <cellStyle name="BORDERS" xfId="3" xr:uid="{00000000-0005-0000-0000-000000000000}"/>
    <cellStyle name="Comma [0] 2" xfId="4" xr:uid="{00000000-0005-0000-0000-000001000000}"/>
    <cellStyle name="Comma [0] 3" xfId="5" xr:uid="{00000000-0005-0000-0000-000002000000}"/>
    <cellStyle name="Comma 2" xfId="6" xr:uid="{00000000-0005-0000-0000-000003000000}"/>
    <cellStyle name="Comma 2 2" xfId="7" xr:uid="{00000000-0005-0000-0000-000004000000}"/>
    <cellStyle name="Comma 3" xfId="8" xr:uid="{00000000-0005-0000-0000-000005000000}"/>
    <cellStyle name="Comma 4" xfId="9" xr:uid="{00000000-0005-0000-0000-000006000000}"/>
    <cellStyle name="Comma 5" xfId="10" xr:uid="{00000000-0005-0000-0000-000007000000}"/>
    <cellStyle name="Comma 6" xfId="11" xr:uid="{00000000-0005-0000-0000-000008000000}"/>
    <cellStyle name="Comma 6 2" xfId="12" xr:uid="{00000000-0005-0000-0000-000009000000}"/>
    <cellStyle name="Comma 6 3" xfId="13" xr:uid="{00000000-0005-0000-0000-00000A000000}"/>
    <cellStyle name="Comma 7" xfId="14" xr:uid="{00000000-0005-0000-0000-00000B000000}"/>
    <cellStyle name="Currency 2" xfId="15" xr:uid="{00000000-0005-0000-0000-00000C000000}"/>
    <cellStyle name="Currency 2 2" xfId="16" xr:uid="{00000000-0005-0000-0000-00000D000000}"/>
    <cellStyle name="Currency 2 3" xfId="17" xr:uid="{00000000-0005-0000-0000-00000E000000}"/>
    <cellStyle name="Currency 3" xfId="18" xr:uid="{00000000-0005-0000-0000-00000F000000}"/>
    <cellStyle name="no dec" xfId="19" xr:uid="{00000000-0005-0000-0000-000011000000}"/>
    <cellStyle name="Normal" xfId="0" builtinId="0"/>
    <cellStyle name="Normal - Style1" xfId="20" xr:uid="{00000000-0005-0000-0000-000013000000}"/>
    <cellStyle name="Normal 10" xfId="21" xr:uid="{00000000-0005-0000-0000-000014000000}"/>
    <cellStyle name="Normal 11" xfId="22" xr:uid="{00000000-0005-0000-0000-000015000000}"/>
    <cellStyle name="Normal 12" xfId="23" xr:uid="{00000000-0005-0000-0000-000016000000}"/>
    <cellStyle name="Normal 13" xfId="24" xr:uid="{00000000-0005-0000-0000-000017000000}"/>
    <cellStyle name="Normal 14" xfId="25" xr:uid="{00000000-0005-0000-0000-000018000000}"/>
    <cellStyle name="Normal 15" xfId="26" xr:uid="{00000000-0005-0000-0000-000019000000}"/>
    <cellStyle name="Normal 16" xfId="27" xr:uid="{00000000-0005-0000-0000-00001A000000}"/>
    <cellStyle name="Normal 17" xfId="28" xr:uid="{00000000-0005-0000-0000-00001B000000}"/>
    <cellStyle name="Normal 18" xfId="29" xr:uid="{00000000-0005-0000-0000-00001C000000}"/>
    <cellStyle name="Normal 19" xfId="30" xr:uid="{00000000-0005-0000-0000-00001D000000}"/>
    <cellStyle name="Normal 2" xfId="31" xr:uid="{00000000-0005-0000-0000-00001E000000}"/>
    <cellStyle name="Normal 2 2" xfId="32" xr:uid="{00000000-0005-0000-0000-00001F000000}"/>
    <cellStyle name="Normal 2 2 2" xfId="33" xr:uid="{00000000-0005-0000-0000-000020000000}"/>
    <cellStyle name="Normal 20" xfId="34" xr:uid="{00000000-0005-0000-0000-000021000000}"/>
    <cellStyle name="Normal 21" xfId="35" xr:uid="{00000000-0005-0000-0000-000022000000}"/>
    <cellStyle name="Normal 22" xfId="36" xr:uid="{00000000-0005-0000-0000-000023000000}"/>
    <cellStyle name="Normal 23" xfId="37" xr:uid="{00000000-0005-0000-0000-000024000000}"/>
    <cellStyle name="Normal 24" xfId="38" xr:uid="{00000000-0005-0000-0000-000025000000}"/>
    <cellStyle name="Normal 24 2" xfId="39" xr:uid="{00000000-0005-0000-0000-000026000000}"/>
    <cellStyle name="Normal 24 3" xfId="40" xr:uid="{00000000-0005-0000-0000-000027000000}"/>
    <cellStyle name="Normal 25" xfId="41" xr:uid="{00000000-0005-0000-0000-000028000000}"/>
    <cellStyle name="Normal 25 2" xfId="42" xr:uid="{00000000-0005-0000-0000-000029000000}"/>
    <cellStyle name="Normal 25 3" xfId="43" xr:uid="{00000000-0005-0000-0000-00002A000000}"/>
    <cellStyle name="Normal 26" xfId="44" xr:uid="{00000000-0005-0000-0000-00002B000000}"/>
    <cellStyle name="Normal 26 2" xfId="45" xr:uid="{00000000-0005-0000-0000-00002C000000}"/>
    <cellStyle name="Normal 26 3" xfId="46" xr:uid="{00000000-0005-0000-0000-00002D000000}"/>
    <cellStyle name="Normal 27" xfId="47" xr:uid="{00000000-0005-0000-0000-00002E000000}"/>
    <cellStyle name="Normal 27 2" xfId="48" xr:uid="{00000000-0005-0000-0000-00002F000000}"/>
    <cellStyle name="Normal 27 3" xfId="49" xr:uid="{00000000-0005-0000-0000-000030000000}"/>
    <cellStyle name="Normal 28" xfId="50" xr:uid="{00000000-0005-0000-0000-000031000000}"/>
    <cellStyle name="Normal 28 2" xfId="51" xr:uid="{00000000-0005-0000-0000-000032000000}"/>
    <cellStyle name="Normal 28 3" xfId="52" xr:uid="{00000000-0005-0000-0000-000033000000}"/>
    <cellStyle name="Normal 28 4" xfId="53" xr:uid="{00000000-0005-0000-0000-000034000000}"/>
    <cellStyle name="Normal 29" xfId="54" xr:uid="{00000000-0005-0000-0000-000035000000}"/>
    <cellStyle name="Normal 29 2" xfId="55" xr:uid="{00000000-0005-0000-0000-000036000000}"/>
    <cellStyle name="Normal 29 3" xfId="56" xr:uid="{00000000-0005-0000-0000-000037000000}"/>
    <cellStyle name="Normal 3" xfId="1" xr:uid="{00000000-0005-0000-0000-000038000000}"/>
    <cellStyle name="Normal 3 2" xfId="57" xr:uid="{00000000-0005-0000-0000-000039000000}"/>
    <cellStyle name="Normal 3 3" xfId="58" xr:uid="{00000000-0005-0000-0000-00003A000000}"/>
    <cellStyle name="Normal 30" xfId="59" xr:uid="{00000000-0005-0000-0000-00003B000000}"/>
    <cellStyle name="Normal 30 2" xfId="60" xr:uid="{00000000-0005-0000-0000-00003C000000}"/>
    <cellStyle name="Normal 30 3" xfId="61" xr:uid="{00000000-0005-0000-0000-00003D000000}"/>
    <cellStyle name="Normal 31" xfId="62" xr:uid="{00000000-0005-0000-0000-00003E000000}"/>
    <cellStyle name="Normal 31 2" xfId="63" xr:uid="{00000000-0005-0000-0000-00003F000000}"/>
    <cellStyle name="Normal 31 3" xfId="64" xr:uid="{00000000-0005-0000-0000-000040000000}"/>
    <cellStyle name="Normal 32" xfId="65" xr:uid="{00000000-0005-0000-0000-000041000000}"/>
    <cellStyle name="Normal 32 2" xfId="66" xr:uid="{00000000-0005-0000-0000-000042000000}"/>
    <cellStyle name="Normal 32 3" xfId="67" xr:uid="{00000000-0005-0000-0000-000043000000}"/>
    <cellStyle name="Normal 33" xfId="68" xr:uid="{00000000-0005-0000-0000-000044000000}"/>
    <cellStyle name="Normal 33 2" xfId="69" xr:uid="{00000000-0005-0000-0000-000045000000}"/>
    <cellStyle name="Normal 33 3" xfId="70" xr:uid="{00000000-0005-0000-0000-000046000000}"/>
    <cellStyle name="Normal 34" xfId="71" xr:uid="{00000000-0005-0000-0000-000047000000}"/>
    <cellStyle name="Normal 34 2" xfId="72" xr:uid="{00000000-0005-0000-0000-000048000000}"/>
    <cellStyle name="Normal 34 3" xfId="73" xr:uid="{00000000-0005-0000-0000-000049000000}"/>
    <cellStyle name="Normal 35" xfId="74" xr:uid="{00000000-0005-0000-0000-00004A000000}"/>
    <cellStyle name="Normal 35 2" xfId="75" xr:uid="{00000000-0005-0000-0000-00004B000000}"/>
    <cellStyle name="Normal 35 3" xfId="76" xr:uid="{00000000-0005-0000-0000-00004C000000}"/>
    <cellStyle name="Normal 36" xfId="2" xr:uid="{00000000-0005-0000-0000-00004D000000}"/>
    <cellStyle name="Normal 36 2" xfId="77" xr:uid="{00000000-0005-0000-0000-00004E000000}"/>
    <cellStyle name="Normal 37" xfId="78" xr:uid="{00000000-0005-0000-0000-00004F000000}"/>
    <cellStyle name="Normal 38" xfId="79" xr:uid="{00000000-0005-0000-0000-000050000000}"/>
    <cellStyle name="Normal 39" xfId="80" xr:uid="{00000000-0005-0000-0000-000051000000}"/>
    <cellStyle name="Normal 4" xfId="81" xr:uid="{00000000-0005-0000-0000-000052000000}"/>
    <cellStyle name="Normal 40" xfId="82" xr:uid="{00000000-0005-0000-0000-000053000000}"/>
    <cellStyle name="Normal 41" xfId="83" xr:uid="{00000000-0005-0000-0000-000054000000}"/>
    <cellStyle name="Normal 5" xfId="84" xr:uid="{00000000-0005-0000-0000-000055000000}"/>
    <cellStyle name="Normal 6" xfId="85" xr:uid="{00000000-0005-0000-0000-000056000000}"/>
    <cellStyle name="Normal 6 2" xfId="86" xr:uid="{00000000-0005-0000-0000-000057000000}"/>
    <cellStyle name="Normal 7" xfId="87" xr:uid="{00000000-0005-0000-0000-000058000000}"/>
    <cellStyle name="Normal 8" xfId="88" xr:uid="{00000000-0005-0000-0000-000059000000}"/>
    <cellStyle name="Normal 9" xfId="89" xr:uid="{00000000-0005-0000-0000-00005A000000}"/>
    <cellStyle name="Normal_QZQ$" xfId="105" xr:uid="{7F06975C-529D-49C6-A01F-6EC39C465C2D}"/>
    <cellStyle name="S0" xfId="90" xr:uid="{00000000-0005-0000-0000-00005C000000}"/>
    <cellStyle name="S1" xfId="91" xr:uid="{00000000-0005-0000-0000-00005D000000}"/>
    <cellStyle name="S10" xfId="92" xr:uid="{00000000-0005-0000-0000-00005E000000}"/>
    <cellStyle name="S11" xfId="93" xr:uid="{00000000-0005-0000-0000-00005F000000}"/>
    <cellStyle name="S12" xfId="94" xr:uid="{00000000-0005-0000-0000-000060000000}"/>
    <cellStyle name="S13" xfId="95" xr:uid="{00000000-0005-0000-0000-000061000000}"/>
    <cellStyle name="S14" xfId="96" xr:uid="{00000000-0005-0000-0000-000062000000}"/>
    <cellStyle name="S2" xfId="97" xr:uid="{00000000-0005-0000-0000-000063000000}"/>
    <cellStyle name="S3" xfId="98" xr:uid="{00000000-0005-0000-0000-000064000000}"/>
    <cellStyle name="S4" xfId="99" xr:uid="{00000000-0005-0000-0000-000065000000}"/>
    <cellStyle name="S5" xfId="100" xr:uid="{00000000-0005-0000-0000-000066000000}"/>
    <cellStyle name="S6" xfId="101" xr:uid="{00000000-0005-0000-0000-000067000000}"/>
    <cellStyle name="S7" xfId="102" xr:uid="{00000000-0005-0000-0000-000068000000}"/>
    <cellStyle name="S8" xfId="103" xr:uid="{00000000-0005-0000-0000-000069000000}"/>
    <cellStyle name="S9" xfId="104" xr:uid="{00000000-0005-0000-0000-00006A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U-HOF-NT12/Marccore/GATOT/Cost%20Analysis/Budget%20developer/D400E%20II%20-%208PS%20ADARO.xls" TargetMode="External"/><Relationship Id="rId1" Type="http://schemas.openxmlformats.org/officeDocument/2006/relationships/externalLinkPath" Target="/TU-HOF-NT12/Marccore/GATOT/Cost%20Analysis/Budget%20developer/D400E%20II%20-%208PS%20ADAR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NF/Public/Public/Public/Public/Public/Documents%20and%20Settings/WSantoso/Local%20Settings/Temporary%20Internet%20Files/OLK19/DPMD%20Rig%20Tubular%20Summary%20CC%20Name.xlsx" TargetMode="External"/><Relationship Id="rId1" Type="http://schemas.openxmlformats.org/officeDocument/2006/relationships/externalLinkPath" Target="/RNF/Public/Public/Public/Public/Public/Documents%20and%20Settings/WSantoso/Local%20Settings/Temporary%20Internet%20Files/OLK19/DPMD%20Rig%20Tubular%20Summary%20CC%20Nam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NF/Public/Public/Public/Public/Public/Engine%20Komatsu%20D85E-SS-2%20-%20DMK/Documents%20and%20Settings/WSantoso/Local%20Settings/Temporary%20Internet%20Files/OLK19/DPMD%20Rig%20Tubular%20Summary%20CC%20Name.xlsx" TargetMode="External"/><Relationship Id="rId1" Type="http://schemas.openxmlformats.org/officeDocument/2006/relationships/externalLinkPath" Target="/RNF/Public/Public/Public/Public/Public/Engine%20Komatsu%20D85E-SS-2%20-%20DMK/Documents%20and%20Settings/WSantoso/Local%20Settings/Temporary%20Internet%20Files/OLK19/DPMD%20Rig%20Tubular%20Summary%20CC%20Nam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RNF/Public/Public/Public/Public/Public/Users/KADET/AppData/Local/Microsoft/Windows/INetCache/Content.Outlook/OCYAS6B5/JOB%20REPAIR%20DIFF%20MERITOR%20ex%20PM1242%20WO#27391655(SVC2779BS).xlsx" TargetMode="External"/><Relationship Id="rId1" Type="http://schemas.openxmlformats.org/officeDocument/2006/relationships/externalLinkPath" Target="/RNF/Public/Public/Public/Public/Public/Users/KADET/AppData/Local/Microsoft/Windows/INetCache/Content.Outlook/OCYAS6B5/JOB%20REPAIR%20DIFF%20MERITOR%20ex%20PM1242%20WO#27391655(SVC2779B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u"/>
      <sheetName val="Agreement Details"/>
      <sheetName val="Component Details"/>
      <sheetName val="Output"/>
      <sheetName val="Availability"/>
      <sheetName val="Reports"/>
      <sheetName val="Graphs"/>
      <sheetName val="Workings"/>
      <sheetName val="Notes"/>
      <sheetName val="Export Data"/>
      <sheetName val="Database Export"/>
    </sheetNames>
    <sheetDataSet>
      <sheetData sheetId="0"/>
      <sheetData sheetId="1"/>
      <sheetData sheetId="2">
        <row r="293">
          <cell r="A293" t="str">
            <v>10 Svc Hour Maintenance</v>
          </cell>
        </row>
        <row r="294">
          <cell r="A294" t="str">
            <v>1000 Service Hour Maintenance (PM)</v>
          </cell>
        </row>
        <row r="295">
          <cell r="A295" t="str">
            <v>2000 Service Hour Maintenance (PM)</v>
          </cell>
        </row>
        <row r="296">
          <cell r="A296" t="str">
            <v>250 Service Hour Maintenance (PM)</v>
          </cell>
        </row>
        <row r="297">
          <cell r="A297" t="str">
            <v>3000 Service Hour Maintenance (PM)</v>
          </cell>
        </row>
        <row r="298">
          <cell r="A298" t="str">
            <v>4000 Service Hour Maintenance (PM)</v>
          </cell>
        </row>
        <row r="299">
          <cell r="A299" t="str">
            <v>500 Service Hour Maintenance (PM)</v>
          </cell>
        </row>
        <row r="300">
          <cell r="A300" t="str">
            <v>A' Frame Ass</v>
          </cell>
        </row>
        <row r="301">
          <cell r="A301" t="str">
            <v>A.E.T.A Unit</v>
          </cell>
        </row>
        <row r="302">
          <cell r="A302" t="str">
            <v>Access Steps &amp; Panels</v>
          </cell>
        </row>
        <row r="303">
          <cell r="A303" t="str">
            <v>Accumulator</v>
          </cell>
        </row>
        <row r="304">
          <cell r="A304" t="str">
            <v>Adjustable St Column</v>
          </cell>
        </row>
        <row r="305">
          <cell r="A305" t="str">
            <v>Air &amp; Hydraulic Hose</v>
          </cell>
        </row>
        <row r="306">
          <cell r="A306" t="str">
            <v>Air Cleaner Gp + Lines</v>
          </cell>
        </row>
        <row r="307">
          <cell r="A307" t="str">
            <v>Air Compressor</v>
          </cell>
        </row>
        <row r="308">
          <cell r="A308" t="str">
            <v>Air Conditioner</v>
          </cell>
        </row>
        <row r="309">
          <cell r="A309" t="str">
            <v>Air Conditioning Compressor</v>
          </cell>
        </row>
        <row r="310">
          <cell r="A310" t="str">
            <v>Air Dryer</v>
          </cell>
        </row>
        <row r="311">
          <cell r="A311" t="str">
            <v>Air Lines</v>
          </cell>
        </row>
        <row r="312">
          <cell r="A312" t="str">
            <v>Alternator</v>
          </cell>
        </row>
        <row r="313">
          <cell r="A313" t="str">
            <v>Articulated Pin</v>
          </cell>
        </row>
        <row r="314">
          <cell r="A314" t="str">
            <v>Articulation &amp; Frame Bores</v>
          </cell>
        </row>
        <row r="315">
          <cell r="A315" t="str">
            <v>Articulation Cylinder</v>
          </cell>
        </row>
        <row r="316">
          <cell r="A316" t="str">
            <v>Aux. Water Pump</v>
          </cell>
        </row>
        <row r="317">
          <cell r="A317" t="str">
            <v>Axle &amp; Differential (Center)</v>
          </cell>
        </row>
        <row r="318">
          <cell r="A318" t="str">
            <v>Axle &amp; Differential (Front)</v>
          </cell>
        </row>
        <row r="319">
          <cell r="A319" t="str">
            <v>Axle &amp; Differential (Rear)</v>
          </cell>
        </row>
        <row r="320">
          <cell r="A320" t="str">
            <v>Axle Cooling Pump</v>
          </cell>
        </row>
        <row r="321">
          <cell r="A321" t="str">
            <v>Axle Housing Assembly</v>
          </cell>
        </row>
        <row r="322">
          <cell r="A322" t="str">
            <v>Axle Oil Cooler</v>
          </cell>
        </row>
        <row r="323">
          <cell r="A323" t="str">
            <v>Axle Shaft</v>
          </cell>
        </row>
        <row r="324">
          <cell r="A324" t="str">
            <v>Axle Suspension (Center)</v>
          </cell>
        </row>
        <row r="325">
          <cell r="A325" t="str">
            <v>Axle Suspension (Front)</v>
          </cell>
        </row>
        <row r="326">
          <cell r="A326" t="str">
            <v>Axle Suspension (Rear)</v>
          </cell>
        </row>
        <row r="327">
          <cell r="A327" t="str">
            <v>Axle/Diff./F.Drive/Brake (Front)</v>
          </cell>
        </row>
        <row r="328">
          <cell r="A328" t="str">
            <v>Axle/Diff./F.Drive/Brake (Rear)</v>
          </cell>
        </row>
        <row r="329">
          <cell r="A329" t="str">
            <v>Batteries</v>
          </cell>
        </row>
        <row r="330">
          <cell r="A330" t="str">
            <v>Belt Tightener</v>
          </cell>
        </row>
        <row r="331">
          <cell r="A331" t="str">
            <v>Bevel &amp; Transfer Gear</v>
          </cell>
        </row>
        <row r="332">
          <cell r="A332" t="str">
            <v>Bevel Gear</v>
          </cell>
        </row>
        <row r="333">
          <cell r="A333" t="str">
            <v>Blade Assembly</v>
          </cell>
        </row>
        <row r="334">
          <cell r="A334" t="str">
            <v>Blade Lift Arms</v>
          </cell>
        </row>
        <row r="335">
          <cell r="A335" t="str">
            <v>Blade Lift Cylinder</v>
          </cell>
        </row>
        <row r="336">
          <cell r="A336" t="str">
            <v>Blade Tip Cylinder</v>
          </cell>
        </row>
        <row r="337">
          <cell r="A337" t="str">
            <v>Body Pivot Pins &amp; Bearing</v>
          </cell>
        </row>
        <row r="338">
          <cell r="A338" t="str">
            <v>Boom</v>
          </cell>
        </row>
        <row r="339">
          <cell r="A339" t="str">
            <v>Boom Cylinder</v>
          </cell>
        </row>
        <row r="340">
          <cell r="A340" t="str">
            <v>Brake (Front)</v>
          </cell>
        </row>
        <row r="341">
          <cell r="A341" t="str">
            <v>Brake (Rear)</v>
          </cell>
        </row>
        <row r="342">
          <cell r="A342" t="str">
            <v xml:space="preserve">Brake Cooling </v>
          </cell>
        </row>
        <row r="343">
          <cell r="A343" t="str">
            <v>Brake Hydraulic System</v>
          </cell>
        </row>
        <row r="344">
          <cell r="A344" t="str">
            <v>Brake Lines Gp</v>
          </cell>
        </row>
        <row r="345">
          <cell r="A345" t="str">
            <v>Brake Service Pump</v>
          </cell>
        </row>
        <row r="346">
          <cell r="A346" t="str">
            <v>Brake System</v>
          </cell>
        </row>
        <row r="347">
          <cell r="A347" t="str">
            <v>Bucket</v>
          </cell>
        </row>
        <row r="348">
          <cell r="A348" t="str">
            <v>Bucket Cylinder</v>
          </cell>
        </row>
        <row r="349">
          <cell r="A349" t="str">
            <v>Bucket Linkage</v>
          </cell>
        </row>
        <row r="350">
          <cell r="A350" t="str">
            <v>Cab</v>
          </cell>
        </row>
        <row r="351">
          <cell r="A351" t="str">
            <v>Cab &amp; Seat</v>
          </cell>
        </row>
        <row r="352">
          <cell r="A352" t="str">
            <v>Centershift Cylinder</v>
          </cell>
        </row>
        <row r="353">
          <cell r="A353" t="str">
            <v>Centershift Lock</v>
          </cell>
        </row>
        <row r="354">
          <cell r="A354" t="str">
            <v>Circle</v>
          </cell>
        </row>
        <row r="355">
          <cell r="A355" t="str">
            <v>Circle Drive</v>
          </cell>
        </row>
        <row r="356">
          <cell r="A356" t="str">
            <v>Circle Drive Motor</v>
          </cell>
        </row>
        <row r="357">
          <cell r="A357" t="str">
            <v>Conditioner</v>
          </cell>
        </row>
        <row r="358">
          <cell r="A358" t="str">
            <v>Conditioner</v>
          </cell>
        </row>
        <row r="359">
          <cell r="A359" t="str">
            <v>Cooling Lines</v>
          </cell>
        </row>
        <row r="360">
          <cell r="A360" t="str">
            <v>Cooling System</v>
          </cell>
        </row>
        <row r="361">
          <cell r="A361" t="str">
            <v>Cooling System &amp; Hydraulic Lines</v>
          </cell>
        </row>
        <row r="362">
          <cell r="A362" t="str">
            <v>Countershaft Transmission</v>
          </cell>
        </row>
        <row r="363">
          <cell r="A363" t="str">
            <v>Cylinder Head</v>
          </cell>
        </row>
        <row r="364">
          <cell r="A364" t="str">
            <v>Ddt Hydraulic Control Vlv</v>
          </cell>
        </row>
        <row r="365">
          <cell r="A365" t="str">
            <v>Diff, Bevel Gear &amp; Pinion</v>
          </cell>
        </row>
        <row r="366">
          <cell r="A366" t="str">
            <v>Differential</v>
          </cell>
        </row>
        <row r="367">
          <cell r="A367" t="str">
            <v>Differential - Rear</v>
          </cell>
        </row>
        <row r="368">
          <cell r="A368" t="str">
            <v>Differential Drive &amp; Brake</v>
          </cell>
        </row>
        <row r="369">
          <cell r="A369" t="str">
            <v>Differential Lock</v>
          </cell>
        </row>
        <row r="370">
          <cell r="A370" t="str">
            <v>Differential/Bevel Gear Gp</v>
          </cell>
        </row>
        <row r="371">
          <cell r="A371" t="str">
            <v>Drawbar</v>
          </cell>
        </row>
        <row r="372">
          <cell r="A372" t="str">
            <v>Drive Axle - Rear</v>
          </cell>
        </row>
        <row r="373">
          <cell r="A373" t="str">
            <v>Drive Chain Single / Tandem</v>
          </cell>
        </row>
        <row r="374">
          <cell r="A374" t="str">
            <v>Drive Line/Drive Axle</v>
          </cell>
        </row>
        <row r="375">
          <cell r="A375" t="str">
            <v>Drive Shaft</v>
          </cell>
        </row>
        <row r="376">
          <cell r="A376" t="str">
            <v>Drive Shaft (Center)</v>
          </cell>
        </row>
        <row r="377">
          <cell r="A377" t="str">
            <v>Drive Shaft (Front)</v>
          </cell>
        </row>
        <row r="378">
          <cell r="A378" t="str">
            <v>Drive Shaft (Middle)</v>
          </cell>
        </row>
        <row r="379">
          <cell r="A379" t="str">
            <v>Drive Shaft (Rear)</v>
          </cell>
        </row>
        <row r="380">
          <cell r="A380" t="str">
            <v>Drive Shaft T/C Transmission</v>
          </cell>
        </row>
        <row r="381">
          <cell r="A381" t="str">
            <v>Dust Ejector</v>
          </cell>
        </row>
        <row r="382">
          <cell r="A382" t="str">
            <v>Engine</v>
          </cell>
        </row>
        <row r="383">
          <cell r="A383" t="str">
            <v>Exhaust Scrubber</v>
          </cell>
        </row>
        <row r="384">
          <cell r="A384" t="str">
            <v>Fan Drive</v>
          </cell>
        </row>
        <row r="385">
          <cell r="A385" t="str">
            <v>Feed Cylinder</v>
          </cell>
        </row>
        <row r="386">
          <cell r="A386" t="str">
            <v>Feed Drive</v>
          </cell>
        </row>
        <row r="387">
          <cell r="A387" t="str">
            <v>Final Drive</v>
          </cell>
        </row>
        <row r="388">
          <cell r="A388" t="str">
            <v>Final Drive - Left</v>
          </cell>
        </row>
        <row r="389">
          <cell r="A389" t="str">
            <v>Final Drive - Right</v>
          </cell>
        </row>
        <row r="390">
          <cell r="A390" t="str">
            <v>Final Drive &amp; Brake Wheel</v>
          </cell>
        </row>
        <row r="391">
          <cell r="A391" t="str">
            <v>Final Drive/Wheel/Brake (Center)</v>
          </cell>
        </row>
        <row r="392">
          <cell r="A392" t="str">
            <v>Final Drive/Wheel/Brake (Front)</v>
          </cell>
        </row>
        <row r="393">
          <cell r="A393" t="str">
            <v>Final Drive/Wheel/Brake (Rear)</v>
          </cell>
        </row>
        <row r="394">
          <cell r="A394" t="str">
            <v>Fire Suppression</v>
          </cell>
        </row>
        <row r="395">
          <cell r="A395" t="str">
            <v>Frame</v>
          </cell>
        </row>
        <row r="396">
          <cell r="A396" t="str">
            <v>Front Axle</v>
          </cell>
        </row>
        <row r="397">
          <cell r="A397" t="str">
            <v>Front Axle GP</v>
          </cell>
        </row>
        <row r="398">
          <cell r="A398" t="str">
            <v>Front Brake Left</v>
          </cell>
        </row>
        <row r="399">
          <cell r="A399" t="str">
            <v>Front Brake Right</v>
          </cell>
        </row>
        <row r="400">
          <cell r="A400" t="str">
            <v>Front Differential &amp; Axle Gp</v>
          </cell>
        </row>
        <row r="401">
          <cell r="A401" t="str">
            <v>Front Hub / Brakes</v>
          </cell>
        </row>
        <row r="402">
          <cell r="A402" t="str">
            <v>Front Suspension</v>
          </cell>
        </row>
        <row r="403">
          <cell r="A403" t="str">
            <v>Front Suspension Cyl Left</v>
          </cell>
        </row>
        <row r="404">
          <cell r="A404" t="str">
            <v>Front Suspension Cyl Right</v>
          </cell>
        </row>
        <row r="405">
          <cell r="A405" t="str">
            <v>Rear Suspension Cyl Left</v>
          </cell>
        </row>
        <row r="406">
          <cell r="A406" t="str">
            <v>Rear Suspension Cyl Right</v>
          </cell>
        </row>
        <row r="407">
          <cell r="A407" t="str">
            <v>Fuel</v>
          </cell>
        </row>
        <row r="408">
          <cell r="A408" t="str">
            <v>Fuel / Hydraulic Pump</v>
          </cell>
        </row>
        <row r="409">
          <cell r="A409" t="str">
            <v>Fuel Injection Pump</v>
          </cell>
        </row>
        <row r="410">
          <cell r="A410" t="str">
            <v>Fuel Priming Pump</v>
          </cell>
        </row>
        <row r="411">
          <cell r="A411" t="str">
            <v>Fuel Transfer Pump</v>
          </cell>
        </row>
        <row r="412">
          <cell r="A412" t="str">
            <v>Fumes Disposal</v>
          </cell>
        </row>
        <row r="413">
          <cell r="A413" t="str">
            <v>G.E.T</v>
          </cell>
        </row>
        <row r="414">
          <cell r="A414" t="str">
            <v>Hitch</v>
          </cell>
        </row>
        <row r="415">
          <cell r="A415" t="str">
            <v>Hydraulic  Fan Motor</v>
          </cell>
        </row>
        <row r="416">
          <cell r="A416" t="str">
            <v>Hydraulic  Fan Pump</v>
          </cell>
        </row>
        <row r="417">
          <cell r="A417" t="str">
            <v>Hydraulic Control</v>
          </cell>
        </row>
        <row r="418">
          <cell r="A418" t="str">
            <v>Hydraulic Control</v>
          </cell>
        </row>
        <row r="419">
          <cell r="A419" t="str">
            <v>Hydraulic Hoses &amp; Lines</v>
          </cell>
        </row>
        <row r="420">
          <cell r="A420" t="str">
            <v>Hydraulic Motor</v>
          </cell>
        </row>
        <row r="421">
          <cell r="A421" t="str">
            <v>Hydraulic Pump</v>
          </cell>
        </row>
        <row r="422">
          <cell r="A422" t="str">
            <v>Hydraulic System</v>
          </cell>
        </row>
        <row r="423">
          <cell r="A423" t="str">
            <v>Hydraulic System Pump Gp</v>
          </cell>
        </row>
        <row r="424">
          <cell r="A424" t="str">
            <v>Hydraulic Tank</v>
          </cell>
        </row>
        <row r="425">
          <cell r="A425" t="str">
            <v>Metering Pump</v>
          </cell>
        </row>
        <row r="426">
          <cell r="A426" t="str">
            <v>Injector</v>
          </cell>
        </row>
        <row r="427">
          <cell r="A427" t="str">
            <v>Intake &amp; Exhaust System</v>
          </cell>
        </row>
        <row r="428">
          <cell r="A428" t="str">
            <v>Jacket Water Pump Main</v>
          </cell>
        </row>
        <row r="429">
          <cell r="A429" t="str">
            <v>Leveling Cylinder</v>
          </cell>
        </row>
        <row r="430">
          <cell r="A430" t="str">
            <v>Lift Arm</v>
          </cell>
        </row>
        <row r="431">
          <cell r="A431" t="str">
            <v>Lift/Hoist Cylinder</v>
          </cell>
        </row>
        <row r="432">
          <cell r="A432" t="str">
            <v>Lift/Hoist Cylinder - Left</v>
          </cell>
        </row>
        <row r="433">
          <cell r="A433" t="str">
            <v>Lift/Hoist Cylinder - Right</v>
          </cell>
        </row>
        <row r="434">
          <cell r="A434" t="str">
            <v>Lincoln Auto Lube</v>
          </cell>
        </row>
        <row r="435">
          <cell r="A435" t="str">
            <v>Loader Linkage</v>
          </cell>
        </row>
        <row r="436">
          <cell r="A436" t="str">
            <v>Lubrication</v>
          </cell>
        </row>
        <row r="437">
          <cell r="A437" t="str">
            <v>Main Drive Line</v>
          </cell>
        </row>
        <row r="438">
          <cell r="A438" t="str">
            <v>Major Electrical</v>
          </cell>
        </row>
        <row r="439">
          <cell r="A439" t="str">
            <v>Management</v>
          </cell>
        </row>
        <row r="440">
          <cell r="A440" t="str">
            <v>Mast Cylinder</v>
          </cell>
        </row>
        <row r="441">
          <cell r="A441" t="str">
            <v>Motor Differential Steering</v>
          </cell>
        </row>
        <row r="442">
          <cell r="A442" t="str">
            <v>Muffler</v>
          </cell>
        </row>
        <row r="443">
          <cell r="A443" t="str">
            <v>Oil Cooler</v>
          </cell>
        </row>
        <row r="444">
          <cell r="A444" t="str">
            <v>Oscillating Hitch</v>
          </cell>
        </row>
        <row r="445">
          <cell r="A445" t="str">
            <v>Parking Brake</v>
          </cell>
        </row>
        <row r="446">
          <cell r="A446" t="str">
            <v>Parking Brake Control</v>
          </cell>
        </row>
        <row r="447">
          <cell r="A447" t="str">
            <v>Pilot Pump</v>
          </cell>
        </row>
        <row r="448">
          <cell r="A448" t="str">
            <v>Piston Pump</v>
          </cell>
        </row>
        <row r="449">
          <cell r="A449" t="str">
            <v>Planetary &amp; Brake</v>
          </cell>
        </row>
        <row r="450">
          <cell r="A450" t="str">
            <v>Power Train Oil Lines</v>
          </cell>
        </row>
        <row r="451">
          <cell r="A451" t="str">
            <v>Power Train Oil Pump</v>
          </cell>
        </row>
        <row r="452">
          <cell r="A452" t="str">
            <v>Powershift Trans Park Bk</v>
          </cell>
        </row>
        <row r="453">
          <cell r="A453" t="str">
            <v>Pump Drive Gp</v>
          </cell>
        </row>
        <row r="454">
          <cell r="A454" t="str">
            <v>Radiator Gp</v>
          </cell>
        </row>
        <row r="455">
          <cell r="A455" t="str">
            <v>Rear Axle</v>
          </cell>
        </row>
        <row r="456">
          <cell r="A456" t="str">
            <v>Rear Axle Gp</v>
          </cell>
        </row>
        <row r="457">
          <cell r="A457" t="str">
            <v>Rear Axle Housing</v>
          </cell>
        </row>
        <row r="458">
          <cell r="A458" t="str">
            <v>Rear Brake Left</v>
          </cell>
        </row>
        <row r="459">
          <cell r="A459" t="str">
            <v>Rear Brake Rigth</v>
          </cell>
        </row>
        <row r="460">
          <cell r="A460" t="str">
            <v>Rear Suspension</v>
          </cell>
        </row>
        <row r="461">
          <cell r="A461" t="str">
            <v>Rear Suspension Cylinder - Left</v>
          </cell>
        </row>
        <row r="462">
          <cell r="A462" t="str">
            <v>Rear Suspension Cylinder - Right</v>
          </cell>
        </row>
        <row r="463">
          <cell r="A463" t="str">
            <v>Rear Wheel Gp</v>
          </cell>
        </row>
        <row r="464">
          <cell r="A464" t="str">
            <v>Refrigerant Compressor</v>
          </cell>
        </row>
        <row r="465">
          <cell r="A465" t="str">
            <v>Regulator Housing</v>
          </cell>
        </row>
        <row r="466">
          <cell r="A466" t="str">
            <v>Rims</v>
          </cell>
        </row>
        <row r="467">
          <cell r="A467" t="str">
            <v>Ripper Frame</v>
          </cell>
        </row>
        <row r="468">
          <cell r="A468" t="str">
            <v>Ripper Lift Cylinder</v>
          </cell>
        </row>
        <row r="469">
          <cell r="A469" t="str">
            <v>Ripper Mount</v>
          </cell>
        </row>
        <row r="470">
          <cell r="A470" t="str">
            <v>Ripper Mount</v>
          </cell>
        </row>
        <row r="471">
          <cell r="A471" t="str">
            <v>Ripper Pin Puller Cylinder</v>
          </cell>
        </row>
        <row r="472">
          <cell r="A472" t="str">
            <v>Ripper Tilt Cylinder</v>
          </cell>
        </row>
        <row r="473">
          <cell r="A473" t="str">
            <v>Rotary Head Motor</v>
          </cell>
        </row>
        <row r="474">
          <cell r="A474" t="str">
            <v>Seat</v>
          </cell>
        </row>
        <row r="475">
          <cell r="A475" t="str">
            <v>Shut Offs</v>
          </cell>
        </row>
        <row r="476">
          <cell r="A476" t="str">
            <v>Sideshfit Cylinder</v>
          </cell>
        </row>
        <row r="477">
          <cell r="A477" t="str">
            <v>Sideshift Cylinder</v>
          </cell>
        </row>
        <row r="478">
          <cell r="A478" t="str">
            <v>Srp Travel &amp; Accomodation</v>
          </cell>
        </row>
        <row r="479">
          <cell r="A479" t="str">
            <v>Standard Mast</v>
          </cell>
        </row>
        <row r="480">
          <cell r="A480" t="str">
            <v>Starter &amp; Batteries</v>
          </cell>
        </row>
        <row r="481">
          <cell r="A481" t="str">
            <v>Starter Motor</v>
          </cell>
        </row>
        <row r="482">
          <cell r="A482" t="str">
            <v>Steering Accumulator</v>
          </cell>
        </row>
        <row r="483">
          <cell r="A483" t="str">
            <v>Steering Accumulator - Front</v>
          </cell>
        </row>
        <row r="484">
          <cell r="A484" t="str">
            <v>Steering Accumulator - Rear</v>
          </cell>
        </row>
        <row r="485">
          <cell r="A485" t="str">
            <v>Steering Axle &amp; Wheel Bearing</v>
          </cell>
        </row>
        <row r="486">
          <cell r="A486" t="str">
            <v>Steering Clutch And Brake</v>
          </cell>
        </row>
        <row r="487">
          <cell r="A487" t="str">
            <v>Steering Control Unit</v>
          </cell>
        </row>
        <row r="488">
          <cell r="A488" t="str">
            <v>Steering Cylinder</v>
          </cell>
        </row>
        <row r="489">
          <cell r="A489" t="str">
            <v>Steering Cylinder - Front</v>
          </cell>
        </row>
        <row r="490">
          <cell r="A490" t="str">
            <v>Steering Cylinder - Rear</v>
          </cell>
        </row>
        <row r="491">
          <cell r="A491" t="str">
            <v>Steering Linkage</v>
          </cell>
        </row>
        <row r="492">
          <cell r="A492" t="str">
            <v>Steering Pump Gp</v>
          </cell>
        </row>
        <row r="493">
          <cell r="A493" t="str">
            <v>Steering System</v>
          </cell>
        </row>
        <row r="494">
          <cell r="A494" t="str">
            <v>Steering Valve</v>
          </cell>
        </row>
        <row r="495">
          <cell r="A495" t="str">
            <v>Stick</v>
          </cell>
        </row>
        <row r="496">
          <cell r="A496" t="str">
            <v>Stick Cylinder</v>
          </cell>
        </row>
        <row r="497">
          <cell r="A497" t="str">
            <v>Supplemental Steering Pump</v>
          </cell>
        </row>
        <row r="498">
          <cell r="A498" t="str">
            <v>Suspension Cylinder - Left Front</v>
          </cell>
        </row>
        <row r="499">
          <cell r="A499" t="str">
            <v>Suspension Cylinder - Right Front</v>
          </cell>
        </row>
        <row r="500">
          <cell r="A500" t="str">
            <v>Suspension Cylinder (Front)</v>
          </cell>
        </row>
        <row r="501">
          <cell r="A501" t="str">
            <v>Suspension Cylinder (Rear)</v>
          </cell>
        </row>
        <row r="502">
          <cell r="A502" t="str">
            <v>Swing Drive</v>
          </cell>
        </row>
        <row r="503">
          <cell r="A503" t="str">
            <v>Swing Gear &amp; Bearing</v>
          </cell>
        </row>
        <row r="504">
          <cell r="A504" t="str">
            <v>Swing Motor</v>
          </cell>
        </row>
        <row r="505">
          <cell r="A505" t="str">
            <v>Swing Pump</v>
          </cell>
        </row>
        <row r="506">
          <cell r="A506" t="str">
            <v>Swivel</v>
          </cell>
        </row>
        <row r="507">
          <cell r="A507" t="str">
            <v>Swivel Joint</v>
          </cell>
        </row>
        <row r="508">
          <cell r="A508" t="str">
            <v>Tandem Drive - Left</v>
          </cell>
        </row>
        <row r="509">
          <cell r="A509" t="str">
            <v>Tandem Drive - Right</v>
          </cell>
        </row>
        <row r="510">
          <cell r="A510" t="str">
            <v>Tandems</v>
          </cell>
        </row>
        <row r="511">
          <cell r="A511" t="str">
            <v>Tail Cylinder</v>
          </cell>
        </row>
        <row r="512">
          <cell r="A512" t="str">
            <v>Tilt Cylinder - Left</v>
          </cell>
        </row>
        <row r="513">
          <cell r="A513" t="str">
            <v>Tilt Cylinder - Right</v>
          </cell>
        </row>
        <row r="514">
          <cell r="A514" t="str">
            <v>Tip Cylinder</v>
          </cell>
        </row>
        <row r="515">
          <cell r="A515" t="str">
            <v>Tires</v>
          </cell>
        </row>
        <row r="516">
          <cell r="A516" t="str">
            <v>Torque Converter</v>
          </cell>
        </row>
        <row r="517">
          <cell r="A517" t="str">
            <v>Torque Converter &amp; Divider</v>
          </cell>
        </row>
        <row r="518">
          <cell r="A518" t="str">
            <v>Torque Converter &amp; Retarder</v>
          </cell>
        </row>
        <row r="519">
          <cell r="A519" t="str">
            <v>Torque Converter &amp; Transmission</v>
          </cell>
        </row>
        <row r="520">
          <cell r="A520" t="str">
            <v>Torque Converter Pump</v>
          </cell>
        </row>
        <row r="521">
          <cell r="A521" t="str">
            <v>Torque Divider</v>
          </cell>
        </row>
        <row r="522">
          <cell r="A522" t="str">
            <v>Torsion Coupling</v>
          </cell>
        </row>
        <row r="523">
          <cell r="A523" t="str">
            <v>Track Motor</v>
          </cell>
        </row>
        <row r="524">
          <cell r="A524" t="str">
            <v>Trans./Transfer Gear/T.Converter</v>
          </cell>
        </row>
        <row r="525">
          <cell r="A525" t="str">
            <v>Transfer Case</v>
          </cell>
        </row>
        <row r="526">
          <cell r="A526" t="str">
            <v>Transfer Gear</v>
          </cell>
        </row>
        <row r="527">
          <cell r="A527" t="str">
            <v>Transmission</v>
          </cell>
        </row>
        <row r="528">
          <cell r="A528" t="str">
            <v>Transmission &amp; Transfer Gear</v>
          </cell>
        </row>
        <row r="529">
          <cell r="A529" t="str">
            <v>Transmission Bevel &amp; Transfer Gear</v>
          </cell>
        </row>
        <row r="530">
          <cell r="A530" t="str">
            <v>Transmission Control</v>
          </cell>
        </row>
        <row r="531">
          <cell r="A531" t="str">
            <v>Transmission Control Lock</v>
          </cell>
        </row>
        <row r="532">
          <cell r="A532" t="str">
            <v>Transmission Lines</v>
          </cell>
        </row>
        <row r="533">
          <cell r="A533" t="str">
            <v>Transmission Neutral Gp</v>
          </cell>
        </row>
        <row r="534">
          <cell r="A534" t="str">
            <v>Transmission Parking Brake</v>
          </cell>
        </row>
        <row r="535">
          <cell r="A535" t="str">
            <v>Transmission Pump Gp</v>
          </cell>
        </row>
        <row r="536">
          <cell r="A536" t="str">
            <v>Turbocharger - Left</v>
          </cell>
        </row>
        <row r="537">
          <cell r="A537" t="str">
            <v>Turbocharger - Right</v>
          </cell>
        </row>
        <row r="538">
          <cell r="A538" t="str">
            <v>Turbochargers</v>
          </cell>
        </row>
        <row r="539">
          <cell r="A539" t="str">
            <v>Universal Joint</v>
          </cell>
        </row>
        <row r="540">
          <cell r="A540" t="str">
            <v>Unscheduled - Drive Train</v>
          </cell>
        </row>
        <row r="541">
          <cell r="A541" t="str">
            <v>Unscheduled - Engine</v>
          </cell>
        </row>
        <row r="542">
          <cell r="A542" t="str">
            <v>Unscheduled - Other</v>
          </cell>
        </row>
        <row r="543">
          <cell r="A543" t="str">
            <v>Unscheduled - Power Train</v>
          </cell>
        </row>
        <row r="544">
          <cell r="A544" t="str">
            <v>Vee Belt(s)</v>
          </cell>
        </row>
        <row r="545">
          <cell r="A545" t="str">
            <v>Vehicle Drive Shaft</v>
          </cell>
        </row>
        <row r="546">
          <cell r="A546" t="str">
            <v>Warranty</v>
          </cell>
        </row>
        <row r="547">
          <cell r="A547" t="str">
            <v>Warranty - Other</v>
          </cell>
        </row>
        <row r="548">
          <cell r="A548" t="str">
            <v>Water Pump - Aftercool</v>
          </cell>
        </row>
        <row r="549">
          <cell r="A549" t="str">
            <v>Water Pump - Main</v>
          </cell>
        </row>
        <row r="550">
          <cell r="A550" t="str">
            <v>Water Regulator</v>
          </cell>
        </row>
        <row r="551">
          <cell r="A551" t="str">
            <v>Wheel &amp; Brake Assembly - Left Front</v>
          </cell>
        </row>
        <row r="552">
          <cell r="A552" t="str">
            <v>Wheel &amp; Brake Assembly - Left Rear</v>
          </cell>
        </row>
        <row r="553">
          <cell r="A553" t="str">
            <v>Wheel &amp; Brake Assembly - Right Front</v>
          </cell>
        </row>
        <row r="554">
          <cell r="A554" t="str">
            <v>Wheel &amp; Brake Assembly - Right Rear</v>
          </cell>
        </row>
        <row r="555">
          <cell r="A555" t="str">
            <v>Wheel Assembly - Left Rear</v>
          </cell>
        </row>
        <row r="556">
          <cell r="A556" t="str">
            <v>Wheel Bearing (R/H Rear)</v>
          </cell>
        </row>
        <row r="557">
          <cell r="A557" t="str">
            <v>Wheel Brake Assembly - Left Front</v>
          </cell>
        </row>
        <row r="558">
          <cell r="A558" t="str">
            <v>Wheel Brake Assembly - Left Rear</v>
          </cell>
        </row>
        <row r="559">
          <cell r="A559" t="str">
            <v>Wheel Brake Assembly - Right Front</v>
          </cell>
        </row>
        <row r="560">
          <cell r="A560" t="str">
            <v>Wheel Brake Assembly - Right Rear</v>
          </cell>
        </row>
        <row r="561">
          <cell r="A561" t="str">
            <v>Wheel Lean Cylinder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ill Pipe Summary"/>
      <sheetName val="HWDP Summary"/>
      <sheetName val="Drill Collar Summary"/>
      <sheetName val="Valid Field Info"/>
      <sheetName val="Drill Pipe Dimensions"/>
    </sheetNames>
    <sheetDataSet>
      <sheetData sheetId="0"/>
      <sheetData sheetId="1"/>
      <sheetData sheetId="2"/>
      <sheetData sheetId="3">
        <row r="2">
          <cell r="A2" t="str">
            <v>Standard</v>
          </cell>
          <cell r="B2" t="str">
            <v xml:space="preserve">Spiral </v>
          </cell>
          <cell r="D2" t="str">
            <v>None</v>
          </cell>
          <cell r="E2" t="str">
            <v>E-75</v>
          </cell>
          <cell r="F2">
            <v>2</v>
          </cell>
          <cell r="G2" t="str">
            <v>DS-1 Cat5</v>
          </cell>
          <cell r="H2" t="str">
            <v>NC26 (2-3/8 IF)</v>
          </cell>
          <cell r="J2" t="str">
            <v>3-1/8"</v>
          </cell>
          <cell r="K2" t="str">
            <v>2-3/8"</v>
          </cell>
          <cell r="L2" t="str">
            <v>1-1/2"</v>
          </cell>
          <cell r="M2" t="str">
            <v>1-1/4"</v>
          </cell>
          <cell r="N2" t="str">
            <v>0.280 (6.65 lb/ft) - 2-3/8"</v>
          </cell>
          <cell r="O2" t="str">
            <v>Yes</v>
          </cell>
          <cell r="Q2" t="str">
            <v>3-1/8"</v>
          </cell>
          <cell r="R2" t="str">
            <v>Transocean</v>
          </cell>
        </row>
        <row r="3">
          <cell r="A3" t="str">
            <v>Spiral</v>
          </cell>
          <cell r="B3" t="str">
            <v>Slick</v>
          </cell>
          <cell r="D3" t="str">
            <v>TCS Ti</v>
          </cell>
          <cell r="E3" t="str">
            <v>X-95</v>
          </cell>
          <cell r="F3">
            <v>3</v>
          </cell>
          <cell r="G3" t="str">
            <v>DS-1 Cat4</v>
          </cell>
          <cell r="H3" t="str">
            <v>NC31 (2-7/8 IF)</v>
          </cell>
          <cell r="J3" t="str">
            <v>3-1/2"</v>
          </cell>
          <cell r="K3" t="str">
            <v>2-7/8"</v>
          </cell>
          <cell r="L3" t="str">
            <v>2"</v>
          </cell>
          <cell r="M3" t="str">
            <v>1-1/2"</v>
          </cell>
          <cell r="N3" t="str">
            <v>0.217 (6.85 lb/ft) - 2-7/8"</v>
          </cell>
          <cell r="O3" t="str">
            <v>No</v>
          </cell>
          <cell r="Q3" t="str">
            <v>3-3/8"</v>
          </cell>
          <cell r="R3" t="str">
            <v>Client</v>
          </cell>
        </row>
        <row r="4">
          <cell r="A4" t="str">
            <v>Tri-Spiral</v>
          </cell>
          <cell r="B4" t="str">
            <v>Monel</v>
          </cell>
          <cell r="D4" t="str">
            <v>TCS 8000</v>
          </cell>
          <cell r="E4" t="str">
            <v>G-105</v>
          </cell>
          <cell r="G4" t="str">
            <v>DS-1 Cat3</v>
          </cell>
          <cell r="H4" t="str">
            <v>NC38 (3-1/2 IF)</v>
          </cell>
          <cell r="J4" t="str">
            <v>4-1/8"</v>
          </cell>
          <cell r="K4" t="str">
            <v>3-1/2"</v>
          </cell>
          <cell r="L4" t="str">
            <v>2-1/16"</v>
          </cell>
          <cell r="M4" t="str">
            <v>2"</v>
          </cell>
          <cell r="N4" t="str">
            <v>0.362 (10.40 lb/ft) - 2-7/8"</v>
          </cell>
          <cell r="Q4" t="str">
            <v>3-1/2"</v>
          </cell>
          <cell r="R4" t="str">
            <v>Rental</v>
          </cell>
        </row>
        <row r="5">
          <cell r="D5" t="str">
            <v>Duraband NC</v>
          </cell>
          <cell r="E5" t="str">
            <v>S-135</v>
          </cell>
          <cell r="G5" t="str">
            <v>API</v>
          </cell>
          <cell r="H5" t="str">
            <v>NC40 (4 FH)</v>
          </cell>
          <cell r="J5" t="str">
            <v>4-3/4"</v>
          </cell>
          <cell r="K5" t="str">
            <v>4"</v>
          </cell>
          <cell r="L5" t="str">
            <v>2-1/8"</v>
          </cell>
          <cell r="M5" t="str">
            <v>2-1/4"</v>
          </cell>
          <cell r="N5" t="str">
            <v>0.254 (9.50 lb/ft) - 3-1/2"</v>
          </cell>
          <cell r="Q5" t="str">
            <v>3-5/8"</v>
          </cell>
          <cell r="R5" t="str">
            <v>Other…</v>
          </cell>
        </row>
        <row r="6">
          <cell r="D6" t="str">
            <v>Arnco 100XT</v>
          </cell>
          <cell r="E6" t="str">
            <v>Z-140</v>
          </cell>
          <cell r="G6" t="str">
            <v>NS-1</v>
          </cell>
          <cell r="H6" t="str">
            <v>NC46 (4 IF)</v>
          </cell>
          <cell r="J6" t="str">
            <v>5"</v>
          </cell>
          <cell r="K6" t="str">
            <v>4-1/2"</v>
          </cell>
          <cell r="L6" t="str">
            <v>2-1/4"</v>
          </cell>
          <cell r="M6" t="str">
            <v>2-3/8"</v>
          </cell>
          <cell r="N6" t="str">
            <v>0.368 (13.30 lb/ft) - 3-1/2"</v>
          </cell>
          <cell r="Q6" t="str">
            <v>3-7/8"</v>
          </cell>
        </row>
        <row r="7">
          <cell r="D7" t="str">
            <v>Arnco 200XT</v>
          </cell>
          <cell r="E7" t="str">
            <v>V-150</v>
          </cell>
          <cell r="G7" t="str">
            <v>Other…</v>
          </cell>
          <cell r="H7" t="str">
            <v>NC50 (4-1/2 IF)</v>
          </cell>
          <cell r="J7" t="str">
            <v>6"</v>
          </cell>
          <cell r="K7" t="str">
            <v>5"</v>
          </cell>
          <cell r="L7" t="str">
            <v>2-1/2"</v>
          </cell>
          <cell r="M7" t="str">
            <v>2-3/4"</v>
          </cell>
          <cell r="N7" t="str">
            <v>0.449 (15.50 lb/ft) - 3-1/2"</v>
          </cell>
          <cell r="Q7" t="str">
            <v>4"</v>
          </cell>
        </row>
        <row r="8">
          <cell r="D8" t="str">
            <v>Arnco 300XT</v>
          </cell>
          <cell r="E8" t="str">
            <v>XD-105</v>
          </cell>
          <cell r="H8" t="str">
            <v>4-1/2 XH</v>
          </cell>
          <cell r="J8" t="str">
            <v>6-1/4"</v>
          </cell>
          <cell r="K8" t="str">
            <v>5-1/2"</v>
          </cell>
          <cell r="L8" t="str">
            <v>2-9/16"</v>
          </cell>
          <cell r="M8" t="str">
            <v>2-13/16"</v>
          </cell>
          <cell r="N8" t="str">
            <v>0.330 (14.00 lb/ft) - 4"</v>
          </cell>
          <cell r="Q8" t="str">
            <v>4-1/8"</v>
          </cell>
        </row>
        <row r="9">
          <cell r="D9" t="str">
            <v>Smooth-X</v>
          </cell>
          <cell r="E9" t="str">
            <v>S-135T</v>
          </cell>
          <cell r="H9" t="str">
            <v>5-1/2 FH</v>
          </cell>
          <cell r="J9" t="str">
            <v>6-1/2"</v>
          </cell>
          <cell r="K9" t="str">
            <v>5-7/8"</v>
          </cell>
          <cell r="L9" t="str">
            <v>2-11/16"</v>
          </cell>
          <cell r="M9" t="str">
            <v>2-7/8"</v>
          </cell>
          <cell r="N9" t="str">
            <v>0.380 (15.70 lb/ft) - 4"</v>
          </cell>
          <cell r="Q9" t="str">
            <v>4-3/4"</v>
          </cell>
        </row>
        <row r="10">
          <cell r="D10" t="str">
            <v>Platinum</v>
          </cell>
          <cell r="H10" t="str">
            <v>6-5/8 Reg</v>
          </cell>
          <cell r="J10" t="str">
            <v>6-3/4"</v>
          </cell>
          <cell r="K10" t="str">
            <v>6-5/8"</v>
          </cell>
          <cell r="L10" t="str">
            <v>2-3/4"</v>
          </cell>
          <cell r="M10" t="str">
            <v>3"</v>
          </cell>
          <cell r="N10" t="str">
            <v>0.337 (16.60 lb/ft) - 4-1/2"</v>
          </cell>
          <cell r="Q10" t="str">
            <v>4-7/8"</v>
          </cell>
        </row>
        <row r="11">
          <cell r="D11" t="str">
            <v>Armacor M</v>
          </cell>
          <cell r="H11" t="str">
            <v>6-5/8 FH</v>
          </cell>
          <cell r="J11" t="str">
            <v>8"</v>
          </cell>
          <cell r="L11" t="str">
            <v>2-13/16"</v>
          </cell>
          <cell r="M11" t="str">
            <v>3-1/8"</v>
          </cell>
          <cell r="N11" t="str">
            <v>0.430 (20.00 lb/ft) - 4-1/2"</v>
          </cell>
          <cell r="Q11" t="str">
            <v>5"</v>
          </cell>
        </row>
        <row r="12">
          <cell r="D12" t="str">
            <v>Other…</v>
          </cell>
          <cell r="H12" t="str">
            <v>7-5/8 Reg</v>
          </cell>
          <cell r="J12" t="str">
            <v>8-1/4"</v>
          </cell>
          <cell r="L12" t="str">
            <v>3"</v>
          </cell>
          <cell r="N12" t="str">
            <v>0.362 (19.50 lb/ft) - 5"</v>
          </cell>
          <cell r="Q12" t="str">
            <v>5-1/4"</v>
          </cell>
        </row>
        <row r="13">
          <cell r="H13" t="str">
            <v>3-1/2 VAM ACE</v>
          </cell>
          <cell r="J13" t="str">
            <v>8-1/2"</v>
          </cell>
          <cell r="L13" t="str">
            <v>3-1/8"</v>
          </cell>
          <cell r="N13" t="str">
            <v>0.500 (25.60 lb/ft) - 5"</v>
          </cell>
          <cell r="Q13" t="str">
            <v>5-1/2"</v>
          </cell>
        </row>
        <row r="14">
          <cell r="H14" t="str">
            <v>4-1/2 DSTJ</v>
          </cell>
          <cell r="J14" t="str">
            <v>9-1/2"</v>
          </cell>
          <cell r="L14" t="str">
            <v>3-1/4"</v>
          </cell>
          <cell r="N14" t="str">
            <v>0.361 (21.90 lb/ft) - 5-1/2"</v>
          </cell>
          <cell r="Q14" t="str">
            <v>6"</v>
          </cell>
        </row>
        <row r="15">
          <cell r="H15" t="str">
            <v>5 VAM EIS</v>
          </cell>
          <cell r="L15" t="str">
            <v>3-3/8"</v>
          </cell>
          <cell r="N15" t="str">
            <v>0.415 (24.70 lb/ft) - 5-1/2"</v>
          </cell>
          <cell r="Q15" t="str">
            <v>6-1/4"</v>
          </cell>
        </row>
        <row r="16">
          <cell r="H16" t="str">
            <v>5-1/2 VAM EIS</v>
          </cell>
          <cell r="L16" t="str">
            <v>3-5/8"</v>
          </cell>
          <cell r="N16" t="str">
            <v>0.361 (23.40 lb/ft) - 5-7/8"</v>
          </cell>
          <cell r="Q16" t="str">
            <v>6-3/8"</v>
          </cell>
        </row>
        <row r="17">
          <cell r="H17" t="str">
            <v>5-1/2 DSTJ</v>
          </cell>
          <cell r="L17" t="str">
            <v>3-3/4"</v>
          </cell>
          <cell r="N17" t="str">
            <v>0.415 (26.30 lb/ft) - 5-7/8"</v>
          </cell>
          <cell r="Q17" t="str">
            <v>6-5/8"</v>
          </cell>
        </row>
        <row r="18">
          <cell r="H18" t="str">
            <v>GPDS 38</v>
          </cell>
          <cell r="L18" t="str">
            <v>3-7/8"</v>
          </cell>
          <cell r="N18" t="str">
            <v>0.500 (28.70 lb/ft) - 5-7/8"</v>
          </cell>
          <cell r="Q18" t="str">
            <v>6-3/4"</v>
          </cell>
        </row>
        <row r="19">
          <cell r="H19" t="str">
            <v>GPDS 50</v>
          </cell>
          <cell r="L19" t="str">
            <v>4"</v>
          </cell>
          <cell r="N19" t="str">
            <v>0.330 (25.20 lb/ft) - 6-5/8"</v>
          </cell>
          <cell r="Q19" t="str">
            <v>7"</v>
          </cell>
        </row>
        <row r="20">
          <cell r="H20" t="str">
            <v>GPDS 55</v>
          </cell>
          <cell r="L20" t="str">
            <v>4-1/2"</v>
          </cell>
          <cell r="N20" t="str">
            <v>0.362 (27.70 lb/ft) - 6-5/8"</v>
          </cell>
          <cell r="Q20" t="str">
            <v>7-1/4"</v>
          </cell>
        </row>
        <row r="21">
          <cell r="H21" t="str">
            <v>XT31</v>
          </cell>
          <cell r="L21" t="str">
            <v>5"</v>
          </cell>
          <cell r="N21" t="str">
            <v>0.522 (34.08 lb/ft) - 6-5/8"</v>
          </cell>
          <cell r="Q21" t="str">
            <v>7-1/2"</v>
          </cell>
        </row>
        <row r="22">
          <cell r="H22" t="str">
            <v>XT39</v>
          </cell>
          <cell r="N22" t="str">
            <v>0.625 (40.01 lb/ft) - 6-5/8"</v>
          </cell>
          <cell r="Q22" t="str">
            <v>8"</v>
          </cell>
        </row>
        <row r="23">
          <cell r="H23" t="str">
            <v>XT43</v>
          </cell>
          <cell r="N23" t="str">
            <v>0.640 (40.90 lb/ft) - 6-5/8"</v>
          </cell>
          <cell r="Q23" t="str">
            <v>8-1/4"</v>
          </cell>
        </row>
        <row r="24">
          <cell r="H24" t="str">
            <v>XT50</v>
          </cell>
          <cell r="N24">
            <v>0.41499999999999998</v>
          </cell>
          <cell r="Q24" t="str">
            <v>8-1/2"</v>
          </cell>
        </row>
        <row r="25">
          <cell r="H25" t="str">
            <v>XT55</v>
          </cell>
          <cell r="N25">
            <v>0.47</v>
          </cell>
        </row>
        <row r="26">
          <cell r="H26" t="str">
            <v>XT57</v>
          </cell>
          <cell r="N26">
            <v>0.5</v>
          </cell>
        </row>
        <row r="27">
          <cell r="H27" t="str">
            <v>HT50</v>
          </cell>
          <cell r="N27">
            <v>0.56000000000000005</v>
          </cell>
        </row>
        <row r="28">
          <cell r="H28" t="str">
            <v>HT55</v>
          </cell>
          <cell r="N28">
            <v>0.625</v>
          </cell>
        </row>
        <row r="29">
          <cell r="H29" t="str">
            <v>XTM-57</v>
          </cell>
          <cell r="N29">
            <v>0.75</v>
          </cell>
        </row>
        <row r="30">
          <cell r="H30" t="str">
            <v>XTM-69</v>
          </cell>
          <cell r="N30">
            <v>0.81299999999999994</v>
          </cell>
        </row>
        <row r="31">
          <cell r="H31" t="str">
            <v>Other…</v>
          </cell>
          <cell r="N31" t="str">
            <v>1.234 Slip-Proof Tube</v>
          </cell>
        </row>
        <row r="32">
          <cell r="N32" t="str">
            <v>Other…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rill Pipe Summary"/>
      <sheetName val="HWDP Summary"/>
      <sheetName val="Drill Collar Summary"/>
      <sheetName val="Valid Field Info"/>
      <sheetName val="Drill Pipe Dimensions"/>
    </sheetNames>
    <sheetDataSet>
      <sheetData sheetId="0"/>
      <sheetData sheetId="1"/>
      <sheetData sheetId="2"/>
      <sheetData sheetId="3">
        <row r="2">
          <cell r="A2" t="str">
            <v>Standard</v>
          </cell>
          <cell r="R2" t="str">
            <v>Transocean</v>
          </cell>
        </row>
        <row r="3">
          <cell r="R3" t="str">
            <v>Client</v>
          </cell>
        </row>
        <row r="4">
          <cell r="R4" t="str">
            <v>Rental</v>
          </cell>
        </row>
        <row r="5">
          <cell r="R5" t="str">
            <v>Other…</v>
          </cell>
        </row>
      </sheetData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FRONT COVER"/>
      <sheetName val="FAULT FINDINGS"/>
      <sheetName val="PARTS &amp; LABOUR WORKSHEET"/>
      <sheetName val="DETAIL"/>
    </sheetNames>
    <sheetDataSet>
      <sheetData sheetId="0"/>
      <sheetData sheetId="1">
        <row r="23">
          <cell r="K23" t="str">
            <v>N/A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"/>
  <sheetViews>
    <sheetView tabSelected="1" zoomScale="80" zoomScaleNormal="80" zoomScaleSheetLayoutView="80" workbookViewId="0">
      <selection activeCell="K9" sqref="K9"/>
    </sheetView>
  </sheetViews>
  <sheetFormatPr baseColWidth="10" defaultColWidth="9.1640625" defaultRowHeight="15"/>
  <cols>
    <col min="1" max="1" width="10.33203125" style="1" customWidth="1"/>
    <col min="2" max="2" width="10.5" style="1" customWidth="1"/>
    <col min="3" max="3" width="9.33203125" style="1" customWidth="1"/>
    <col min="4" max="4" width="31.1640625" style="2" customWidth="1"/>
    <col min="5" max="5" width="32.5" style="2" customWidth="1"/>
    <col min="6" max="6" width="29.33203125" style="3" customWidth="1"/>
    <col min="7" max="7" width="0.1640625" style="3" customWidth="1"/>
    <col min="8" max="9" width="18.5" style="1" customWidth="1"/>
    <col min="10" max="10" width="19.1640625" style="3" customWidth="1"/>
    <col min="11" max="11" width="13" style="3" customWidth="1"/>
    <col min="12" max="16384" width="9.1640625" style="3"/>
  </cols>
  <sheetData>
    <row r="1" spans="1:10">
      <c r="A1" s="235" t="s">
        <v>57</v>
      </c>
      <c r="B1" s="235"/>
      <c r="C1" s="236" t="s">
        <v>58</v>
      </c>
    </row>
    <row r="2" spans="1:10" ht="17" thickBot="1">
      <c r="A2" s="4" t="s">
        <v>0</v>
      </c>
    </row>
    <row r="3" spans="1:10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/>
      <c r="H3" s="207" t="s">
        <v>10</v>
      </c>
      <c r="I3" s="209" t="s">
        <v>8</v>
      </c>
    </row>
    <row r="4" spans="1:10">
      <c r="A4" s="6" t="s">
        <v>7</v>
      </c>
      <c r="B4" s="6"/>
      <c r="C4" s="6"/>
      <c r="D4" s="7"/>
      <c r="E4" s="7"/>
      <c r="F4" s="8"/>
      <c r="G4" s="8"/>
      <c r="H4" s="208"/>
      <c r="I4" s="210"/>
    </row>
    <row r="5" spans="1:10">
      <c r="A5" s="9">
        <v>1</v>
      </c>
      <c r="B5" s="10"/>
      <c r="C5" s="10"/>
      <c r="D5" s="11"/>
      <c r="E5" s="11"/>
      <c r="F5" s="14"/>
      <c r="G5" s="12" t="s">
        <v>9</v>
      </c>
      <c r="H5" s="13"/>
      <c r="I5" s="21"/>
      <c r="J5" s="19"/>
    </row>
    <row r="6" spans="1:10">
      <c r="A6" s="9">
        <v>2</v>
      </c>
      <c r="B6" s="10"/>
      <c r="C6" s="10"/>
      <c r="D6" s="11"/>
      <c r="E6" s="11"/>
      <c r="F6" s="14"/>
      <c r="G6" s="12"/>
      <c r="H6" s="13"/>
      <c r="I6" s="21"/>
      <c r="J6" s="19"/>
    </row>
    <row r="7" spans="1:10">
      <c r="A7" s="9">
        <v>3</v>
      </c>
      <c r="B7" s="10"/>
      <c r="C7" s="10"/>
      <c r="D7" s="11"/>
      <c r="E7" s="11"/>
      <c r="F7" s="14"/>
      <c r="G7" s="12"/>
      <c r="H7" s="13"/>
      <c r="I7" s="21"/>
      <c r="J7" s="19"/>
    </row>
    <row r="8" spans="1:10">
      <c r="A8" s="9">
        <v>4</v>
      </c>
      <c r="B8" s="23"/>
      <c r="C8" s="10"/>
      <c r="D8" s="24"/>
      <c r="E8" s="11"/>
      <c r="F8" s="20"/>
      <c r="G8" s="25"/>
      <c r="H8" s="13"/>
      <c r="I8" s="21"/>
      <c r="J8" s="19"/>
    </row>
    <row r="9" spans="1:10">
      <c r="A9" s="9">
        <v>5</v>
      </c>
      <c r="B9" s="23"/>
      <c r="C9" s="10"/>
      <c r="D9" s="24"/>
      <c r="E9" s="11"/>
      <c r="F9" s="20"/>
      <c r="G9" s="25"/>
      <c r="H9" s="13"/>
      <c r="I9" s="21"/>
      <c r="J9" s="19"/>
    </row>
    <row r="10" spans="1:10">
      <c r="A10" s="9">
        <v>6</v>
      </c>
      <c r="B10" s="23"/>
      <c r="C10" s="10"/>
      <c r="D10" s="24"/>
      <c r="E10" s="11"/>
      <c r="F10" s="20"/>
      <c r="G10" s="25"/>
      <c r="H10" s="13"/>
      <c r="I10" s="21"/>
      <c r="J10" s="19"/>
    </row>
    <row r="11" spans="1:10">
      <c r="A11" s="9">
        <v>7</v>
      </c>
      <c r="B11" s="23"/>
      <c r="C11" s="10"/>
      <c r="D11" s="24"/>
      <c r="E11" s="11"/>
      <c r="F11" s="20"/>
      <c r="G11" s="25"/>
      <c r="H11" s="13"/>
      <c r="I11" s="21"/>
      <c r="J11" s="19"/>
    </row>
    <row r="12" spans="1:10">
      <c r="A12" s="9">
        <v>8</v>
      </c>
      <c r="B12" s="23"/>
      <c r="C12" s="10"/>
      <c r="D12" s="24"/>
      <c r="E12" s="11"/>
      <c r="F12" s="20"/>
      <c r="G12" s="25"/>
      <c r="H12" s="13"/>
      <c r="I12" s="21"/>
      <c r="J12" s="19"/>
    </row>
    <row r="13" spans="1:10">
      <c r="A13" s="9">
        <v>9</v>
      </c>
      <c r="B13" s="23"/>
      <c r="C13" s="10"/>
      <c r="D13" s="29"/>
      <c r="E13" s="11"/>
      <c r="F13" s="20"/>
      <c r="G13" s="25"/>
      <c r="H13" s="13"/>
      <c r="I13" s="21"/>
      <c r="J13" s="19"/>
    </row>
    <row r="14" spans="1:10">
      <c r="A14" s="9">
        <v>10</v>
      </c>
      <c r="B14" s="23"/>
      <c r="C14" s="10"/>
      <c r="D14" s="24"/>
      <c r="E14" s="11"/>
      <c r="F14" s="20"/>
      <c r="G14" s="25"/>
      <c r="H14" s="13"/>
      <c r="I14" s="21"/>
      <c r="J14" s="19"/>
    </row>
    <row r="15" spans="1:10">
      <c r="A15" s="9">
        <v>11</v>
      </c>
      <c r="B15" s="23"/>
      <c r="C15" s="10"/>
      <c r="D15" s="24"/>
      <c r="E15" s="11"/>
      <c r="F15" s="20"/>
      <c r="G15" s="25"/>
      <c r="H15" s="13"/>
      <c r="I15" s="21"/>
      <c r="J15" s="19"/>
    </row>
    <row r="16" spans="1:10">
      <c r="A16" s="9">
        <v>12</v>
      </c>
      <c r="B16" s="23"/>
      <c r="C16" s="10"/>
      <c r="D16" s="24"/>
      <c r="E16" s="11"/>
      <c r="F16" s="20"/>
      <c r="G16" s="25"/>
      <c r="H16" s="13"/>
      <c r="I16" s="21"/>
      <c r="J16" s="19"/>
    </row>
    <row r="17" spans="1:10">
      <c r="A17" s="9">
        <v>13</v>
      </c>
      <c r="B17" s="23"/>
      <c r="C17" s="10"/>
      <c r="D17" s="24"/>
      <c r="E17" s="11"/>
      <c r="F17" s="20"/>
      <c r="G17" s="25"/>
      <c r="H17" s="13"/>
      <c r="I17" s="21"/>
      <c r="J17" s="19"/>
    </row>
    <row r="18" spans="1:10">
      <c r="A18" s="9">
        <v>14</v>
      </c>
      <c r="B18" s="23"/>
      <c r="C18" s="10"/>
      <c r="D18" s="24"/>
      <c r="E18" s="11"/>
      <c r="F18" s="20"/>
      <c r="G18" s="25"/>
      <c r="H18" s="13"/>
      <c r="I18" s="21"/>
      <c r="J18" s="19"/>
    </row>
    <row r="19" spans="1:10">
      <c r="A19" s="9">
        <v>15</v>
      </c>
      <c r="B19" s="23"/>
      <c r="C19" s="10"/>
      <c r="D19" s="24"/>
      <c r="E19" s="11"/>
      <c r="F19" s="20"/>
      <c r="G19" s="25"/>
      <c r="H19" s="13"/>
      <c r="I19" s="21"/>
      <c r="J19" s="19"/>
    </row>
    <row r="20" spans="1:10">
      <c r="A20" s="9">
        <v>16</v>
      </c>
      <c r="B20" s="23"/>
      <c r="C20" s="10"/>
      <c r="D20" s="24"/>
      <c r="E20" s="11"/>
      <c r="F20" s="20"/>
      <c r="G20" s="25"/>
      <c r="H20" s="13"/>
      <c r="I20" s="21"/>
      <c r="J20" s="19"/>
    </row>
    <row r="21" spans="1:10">
      <c r="A21" s="9">
        <v>17</v>
      </c>
      <c r="B21" s="23"/>
      <c r="C21" s="10"/>
      <c r="D21" s="24"/>
      <c r="E21" s="11"/>
      <c r="F21" s="20"/>
      <c r="G21" s="25"/>
      <c r="H21" s="13"/>
      <c r="I21" s="21"/>
      <c r="J21" s="19"/>
    </row>
    <row r="22" spans="1:10">
      <c r="A22" s="9">
        <v>18</v>
      </c>
      <c r="B22" s="23"/>
      <c r="C22" s="10"/>
      <c r="D22" s="24"/>
      <c r="E22" s="11"/>
      <c r="F22" s="20"/>
      <c r="G22" s="25"/>
      <c r="H22" s="13"/>
      <c r="I22" s="21"/>
      <c r="J22" s="19"/>
    </row>
    <row r="23" spans="1:10">
      <c r="A23" s="9">
        <v>19</v>
      </c>
      <c r="B23" s="23"/>
      <c r="C23" s="10"/>
      <c r="D23" s="24"/>
      <c r="E23" s="11"/>
      <c r="F23" s="20"/>
      <c r="G23" s="25"/>
      <c r="H23" s="13"/>
      <c r="I23" s="21"/>
      <c r="J23" s="19"/>
    </row>
    <row r="24" spans="1:10">
      <c r="A24" s="9">
        <v>20</v>
      </c>
      <c r="B24" s="23"/>
      <c r="C24" s="10"/>
      <c r="D24" s="24"/>
      <c r="E24" s="11"/>
      <c r="F24" s="20"/>
      <c r="G24" s="25"/>
      <c r="H24" s="13"/>
      <c r="I24" s="21"/>
      <c r="J24" s="19"/>
    </row>
    <row r="25" spans="1:10">
      <c r="A25" s="9">
        <v>21</v>
      </c>
      <c r="B25" s="23"/>
      <c r="C25" s="10"/>
      <c r="D25" s="24"/>
      <c r="E25" s="11"/>
      <c r="F25" s="20"/>
      <c r="G25" s="25"/>
      <c r="H25" s="13"/>
      <c r="I25" s="21"/>
      <c r="J25" s="19"/>
    </row>
    <row r="26" spans="1:10">
      <c r="A26" s="9">
        <v>22</v>
      </c>
      <c r="B26" s="23"/>
      <c r="C26" s="10"/>
      <c r="D26" s="24"/>
      <c r="E26" s="11"/>
      <c r="F26" s="20"/>
      <c r="G26" s="25"/>
      <c r="H26" s="13"/>
      <c r="I26" s="21"/>
      <c r="J26" s="19"/>
    </row>
    <row r="27" spans="1:10">
      <c r="A27" s="9">
        <v>23</v>
      </c>
      <c r="B27" s="23"/>
      <c r="C27" s="10"/>
      <c r="D27" s="24"/>
      <c r="E27" s="11"/>
      <c r="F27" s="23"/>
      <c r="G27" s="23"/>
      <c r="H27" s="13"/>
      <c r="I27" s="21"/>
      <c r="J27" s="19"/>
    </row>
    <row r="28" spans="1:10">
      <c r="A28" s="9">
        <v>24</v>
      </c>
      <c r="B28" s="23"/>
      <c r="C28" s="10"/>
      <c r="D28" s="24"/>
      <c r="E28" s="11"/>
      <c r="F28" s="23"/>
      <c r="G28" s="26"/>
      <c r="H28" s="13"/>
      <c r="I28" s="21"/>
    </row>
    <row r="29" spans="1:10">
      <c r="A29" s="9">
        <v>25</v>
      </c>
      <c r="B29" s="23"/>
      <c r="C29" s="10"/>
      <c r="D29" s="24"/>
      <c r="E29" s="24"/>
      <c r="F29" s="23"/>
      <c r="G29" s="27"/>
      <c r="H29" s="13"/>
      <c r="I29" s="21"/>
    </row>
    <row r="30" spans="1:10">
      <c r="A30" s="9">
        <v>26</v>
      </c>
      <c r="B30" s="23"/>
      <c r="C30" s="10"/>
      <c r="D30" s="24"/>
      <c r="E30" s="24"/>
      <c r="F30" s="23"/>
      <c r="G30" s="27"/>
      <c r="H30" s="13"/>
      <c r="I30" s="21"/>
    </row>
    <row r="31" spans="1:10">
      <c r="A31" s="9">
        <v>27</v>
      </c>
      <c r="B31" s="23"/>
      <c r="C31" s="10"/>
      <c r="D31" s="24"/>
      <c r="E31" s="24"/>
      <c r="F31" s="23"/>
      <c r="G31" s="27"/>
      <c r="H31" s="13"/>
      <c r="I31" s="21"/>
    </row>
    <row r="32" spans="1:10">
      <c r="A32" s="9">
        <v>28</v>
      </c>
      <c r="B32" s="23"/>
      <c r="C32" s="30"/>
      <c r="D32" s="24"/>
      <c r="E32" s="24"/>
      <c r="F32" s="23"/>
      <c r="G32" s="27"/>
      <c r="H32" s="13"/>
      <c r="I32" s="21"/>
    </row>
    <row r="33" spans="1:9">
      <c r="A33" s="9">
        <v>29</v>
      </c>
      <c r="B33" s="23"/>
      <c r="C33" s="30"/>
      <c r="D33" s="24"/>
      <c r="E33" s="24"/>
      <c r="F33" s="23"/>
      <c r="G33" s="27"/>
      <c r="H33" s="13"/>
      <c r="I33" s="21"/>
    </row>
    <row r="34" spans="1:9" ht="18" customHeight="1">
      <c r="A34" s="9">
        <v>30</v>
      </c>
      <c r="B34" s="23"/>
      <c r="C34" s="28"/>
      <c r="D34" s="24"/>
      <c r="E34" s="24"/>
      <c r="F34" s="23"/>
      <c r="G34" s="27"/>
      <c r="H34" s="13"/>
      <c r="I34" s="21"/>
    </row>
    <row r="35" spans="1:9" ht="16" thickBot="1">
      <c r="A35" s="15"/>
      <c r="B35" s="16"/>
      <c r="C35" s="16"/>
      <c r="D35" s="17"/>
      <c r="E35" s="17"/>
      <c r="F35" s="18"/>
      <c r="G35" s="18"/>
      <c r="H35" s="16"/>
      <c r="I35" s="22"/>
    </row>
    <row r="37" spans="1:9">
      <c r="B37" s="2"/>
    </row>
    <row r="40" spans="1:9">
      <c r="B40" s="2"/>
    </row>
  </sheetData>
  <mergeCells count="3">
    <mergeCell ref="H3:H4"/>
    <mergeCell ref="I3:I4"/>
    <mergeCell ref="A1:B1"/>
  </mergeCells>
  <phoneticPr fontId="23" type="noConversion"/>
  <conditionalFormatting sqref="E1:E1048576">
    <cfRule type="duplicateValues" dxfId="8" priority="12"/>
  </conditionalFormatting>
  <conditionalFormatting sqref="E5:E22">
    <cfRule type="duplicateValues" dxfId="7" priority="254"/>
  </conditionalFormatting>
  <conditionalFormatting sqref="E5:E28">
    <cfRule type="duplicateValues" dxfId="6" priority="293"/>
  </conditionalFormatting>
  <conditionalFormatting sqref="E5:E29">
    <cfRule type="duplicateValues" dxfId="5" priority="289"/>
    <cfRule type="duplicateValues" dxfId="4" priority="290"/>
  </conditionalFormatting>
  <conditionalFormatting sqref="E5:E34">
    <cfRule type="duplicateValues" dxfId="3" priority="282"/>
    <cfRule type="duplicateValues" dxfId="2" priority="285"/>
    <cfRule type="duplicateValues" dxfId="1" priority="286"/>
  </conditionalFormatting>
  <conditionalFormatting sqref="E27:E34">
    <cfRule type="duplicateValues" dxfId="0" priority="284"/>
  </conditionalFormatting>
  <dataValidations count="1">
    <dataValidation type="list" allowBlank="1" showInputMessage="1" showErrorMessage="1" sqref="E5:E52" xr:uid="{00000000-0002-0000-0000-000000000000}">
      <formula1>#REF!</formula1>
    </dataValidation>
  </dataValidations>
  <printOptions horizontalCentered="1"/>
  <pageMargins left="0.22" right="0.12" top="0.7" bottom="0.83" header="0.5" footer="0.5"/>
  <pageSetup paperSize="9" scale="90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2A51D-CC57-49D2-B953-F7AAF9BEBC6A}">
  <dimension ref="A1:XFD81"/>
  <sheetViews>
    <sheetView zoomScale="75" zoomScaleNormal="75" zoomScaleSheetLayoutView="75" workbookViewId="0">
      <selection activeCell="S20" sqref="S20"/>
    </sheetView>
  </sheetViews>
  <sheetFormatPr baseColWidth="10" defaultColWidth="9.1640625" defaultRowHeight="15"/>
  <cols>
    <col min="1" max="2" width="9.1640625" style="33"/>
    <col min="3" max="3" width="7.33203125" style="33" customWidth="1"/>
    <col min="4" max="4" width="11.5" style="33" customWidth="1"/>
    <col min="5" max="5" width="30.33203125" style="33" customWidth="1"/>
    <col min="6" max="7" width="9.1640625" style="33"/>
    <col min="8" max="8" width="38.83203125" style="33" customWidth="1"/>
    <col min="9" max="9" width="17.5" style="33" customWidth="1"/>
    <col min="10" max="10" width="14.83203125" style="33" customWidth="1"/>
    <col min="11" max="11" width="17.83203125" style="33" customWidth="1"/>
    <col min="12" max="12" width="23" style="33" customWidth="1"/>
    <col min="13" max="13" width="9.1640625" style="33" customWidth="1"/>
    <col min="14" max="16" width="0" style="33" hidden="1" customWidth="1"/>
    <col min="17" max="16384" width="9.1640625" style="33"/>
  </cols>
  <sheetData>
    <row r="1" spans="1:12" ht="16" thickTop="1">
      <c r="A1" s="221" t="s">
        <v>12</v>
      </c>
      <c r="B1" s="222"/>
      <c r="C1" s="222"/>
      <c r="D1" s="222"/>
      <c r="E1" s="222"/>
      <c r="F1" s="218"/>
      <c r="G1" s="217" t="s">
        <v>13</v>
      </c>
      <c r="H1" s="218"/>
      <c r="I1" s="31" t="s">
        <v>14</v>
      </c>
      <c r="J1" s="31" t="s">
        <v>15</v>
      </c>
      <c r="K1" s="31" t="s">
        <v>16</v>
      </c>
      <c r="L1" s="32" t="s">
        <v>17</v>
      </c>
    </row>
    <row r="2" spans="1:12">
      <c r="A2" s="223"/>
      <c r="B2" s="224"/>
      <c r="C2" s="224"/>
      <c r="D2" s="224"/>
      <c r="E2" s="224"/>
      <c r="F2" s="225"/>
      <c r="G2" s="226"/>
      <c r="H2" s="227"/>
      <c r="I2" s="35" t="s">
        <v>0</v>
      </c>
      <c r="J2" s="35" t="s">
        <v>0</v>
      </c>
      <c r="K2" s="35" t="str">
        <f>'[4]FRONT COVER'!K23</f>
        <v>N/A</v>
      </c>
      <c r="L2" s="36" t="s">
        <v>0</v>
      </c>
    </row>
    <row r="3" spans="1:12">
      <c r="A3" s="37" t="s">
        <v>18</v>
      </c>
      <c r="B3" s="38"/>
      <c r="C3" s="38"/>
      <c r="D3" s="38"/>
      <c r="E3" s="38"/>
      <c r="F3" s="38"/>
      <c r="G3" s="38"/>
      <c r="H3" s="39"/>
      <c r="I3" s="39"/>
      <c r="J3" s="40" t="s">
        <v>19</v>
      </c>
      <c r="K3" s="41"/>
      <c r="L3" s="42" t="s">
        <v>20</v>
      </c>
    </row>
    <row r="4" spans="1:12">
      <c r="A4" s="228" t="s">
        <v>0</v>
      </c>
      <c r="B4" s="229"/>
      <c r="C4" s="229"/>
      <c r="D4" s="229"/>
      <c r="E4" s="43"/>
      <c r="F4" s="43"/>
      <c r="G4" s="43"/>
      <c r="H4" s="34"/>
      <c r="I4" s="34"/>
      <c r="J4" s="44" t="s">
        <v>0</v>
      </c>
      <c r="K4" s="45"/>
      <c r="L4" s="36" t="s">
        <v>21</v>
      </c>
    </row>
    <row r="5" spans="1:12">
      <c r="A5" s="37" t="s">
        <v>22</v>
      </c>
      <c r="B5" s="38"/>
      <c r="C5" s="38"/>
      <c r="D5" s="38"/>
      <c r="E5" s="38"/>
      <c r="F5" s="38"/>
      <c r="G5" s="38"/>
      <c r="H5" s="39" t="s">
        <v>0</v>
      </c>
      <c r="I5" s="39"/>
      <c r="J5" s="46"/>
      <c r="K5" s="47"/>
      <c r="L5" s="48"/>
    </row>
    <row r="6" spans="1:12">
      <c r="A6" s="199"/>
      <c r="B6" s="200" t="s">
        <v>23</v>
      </c>
      <c r="C6" s="200"/>
      <c r="D6" s="200"/>
      <c r="E6" s="200"/>
      <c r="F6" s="200"/>
      <c r="G6" s="38"/>
      <c r="H6" s="38"/>
      <c r="I6" s="38"/>
      <c r="J6" s="38"/>
      <c r="K6" s="38"/>
      <c r="L6" s="49"/>
    </row>
    <row r="7" spans="1:12" ht="7.5" customHeight="1" thickBot="1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2"/>
    </row>
    <row r="8" spans="1:12" ht="16" thickTop="1">
      <c r="A8" s="230" t="s">
        <v>24</v>
      </c>
      <c r="B8" s="232" t="s">
        <v>25</v>
      </c>
      <c r="C8" s="233"/>
      <c r="D8" s="233"/>
      <c r="E8" s="234"/>
      <c r="F8" s="217" t="s">
        <v>26</v>
      </c>
      <c r="G8" s="222"/>
      <c r="H8" s="222"/>
      <c r="I8" s="218"/>
      <c r="J8" s="217" t="s">
        <v>27</v>
      </c>
      <c r="K8" s="218"/>
      <c r="L8" s="53" t="s">
        <v>28</v>
      </c>
    </row>
    <row r="9" spans="1:12">
      <c r="A9" s="231"/>
      <c r="B9" s="54" t="s">
        <v>29</v>
      </c>
      <c r="C9" s="55"/>
      <c r="D9" s="56"/>
      <c r="E9" s="57" t="s">
        <v>30</v>
      </c>
      <c r="F9" s="58"/>
      <c r="G9" s="219" t="s">
        <v>31</v>
      </c>
      <c r="H9" s="220"/>
      <c r="I9" s="59" t="s">
        <v>32</v>
      </c>
      <c r="J9" s="60" t="s">
        <v>33</v>
      </c>
      <c r="K9" s="59" t="s">
        <v>34</v>
      </c>
      <c r="L9" s="61" t="s">
        <v>34</v>
      </c>
    </row>
    <row r="10" spans="1:12">
      <c r="A10" s="62"/>
      <c r="B10" s="63"/>
      <c r="C10" s="64"/>
      <c r="D10" s="65"/>
      <c r="E10" s="66"/>
      <c r="F10" s="67"/>
      <c r="G10" s="68"/>
      <c r="H10" s="69"/>
      <c r="I10" s="70"/>
      <c r="J10" s="70"/>
      <c r="K10" s="71">
        <f>+J10*18*13350</f>
        <v>0</v>
      </c>
      <c r="L10" s="72"/>
    </row>
    <row r="11" spans="1:12">
      <c r="A11" s="73"/>
      <c r="B11" s="212"/>
      <c r="C11" s="213"/>
      <c r="D11" s="214"/>
      <c r="E11" s="66"/>
      <c r="F11" s="77"/>
      <c r="G11" s="78"/>
      <c r="H11" s="79"/>
      <c r="I11" s="80"/>
      <c r="J11" s="81"/>
      <c r="K11" s="71"/>
      <c r="L11" s="72"/>
    </row>
    <row r="12" spans="1:12">
      <c r="A12" s="62"/>
      <c r="B12" s="212"/>
      <c r="C12" s="213"/>
      <c r="D12" s="214"/>
      <c r="E12" s="66"/>
      <c r="F12" s="77"/>
      <c r="G12" s="78"/>
      <c r="H12" s="79"/>
      <c r="I12" s="80"/>
      <c r="J12" s="81"/>
      <c r="K12" s="71"/>
      <c r="L12" s="72"/>
    </row>
    <row r="13" spans="1:12">
      <c r="A13" s="73"/>
      <c r="B13" s="212"/>
      <c r="C13" s="213"/>
      <c r="D13" s="214"/>
      <c r="E13" s="82"/>
      <c r="F13" s="77"/>
      <c r="G13" s="83"/>
      <c r="H13" s="84"/>
      <c r="I13" s="85"/>
      <c r="J13" s="86"/>
      <c r="K13" s="71"/>
      <c r="L13" s="87"/>
    </row>
    <row r="14" spans="1:12">
      <c r="A14" s="73"/>
      <c r="B14" s="212"/>
      <c r="C14" s="213"/>
      <c r="D14" s="214"/>
      <c r="E14" s="82"/>
      <c r="F14" s="77"/>
      <c r="G14" s="83"/>
      <c r="H14" s="84"/>
      <c r="I14" s="85"/>
      <c r="J14" s="86"/>
      <c r="K14" s="71"/>
      <c r="L14" s="87"/>
    </row>
    <row r="15" spans="1:12">
      <c r="A15" s="73"/>
      <c r="B15" s="74"/>
      <c r="C15" s="75"/>
      <c r="D15" s="76"/>
      <c r="E15" s="82"/>
      <c r="F15" s="77"/>
      <c r="G15" s="83"/>
      <c r="H15" s="84"/>
      <c r="I15" s="85"/>
      <c r="J15" s="86"/>
      <c r="K15" s="71"/>
      <c r="L15" s="87"/>
    </row>
    <row r="16" spans="1:12">
      <c r="A16" s="73"/>
      <c r="B16" s="74"/>
      <c r="C16" s="75"/>
      <c r="D16" s="76"/>
      <c r="E16" s="82"/>
      <c r="F16" s="77"/>
      <c r="G16" s="83"/>
      <c r="H16" s="84"/>
      <c r="I16" s="85"/>
      <c r="J16" s="86"/>
      <c r="K16" s="71"/>
      <c r="L16" s="87"/>
    </row>
    <row r="17" spans="1:12">
      <c r="A17" s="73"/>
      <c r="B17" s="212"/>
      <c r="C17" s="213"/>
      <c r="D17" s="214"/>
      <c r="E17" s="82"/>
      <c r="F17" s="77"/>
      <c r="G17" s="83"/>
      <c r="H17" s="84"/>
      <c r="I17" s="85"/>
      <c r="J17" s="86"/>
      <c r="K17" s="71"/>
      <c r="L17" s="87"/>
    </row>
    <row r="18" spans="1:12">
      <c r="A18" s="73"/>
      <c r="B18" s="212"/>
      <c r="C18" s="213"/>
      <c r="D18" s="214"/>
      <c r="E18" s="82"/>
      <c r="F18" s="77"/>
      <c r="G18" s="83"/>
      <c r="H18" s="84"/>
      <c r="I18" s="85"/>
      <c r="J18" s="86"/>
      <c r="K18" s="71"/>
      <c r="L18" s="87"/>
    </row>
    <row r="19" spans="1:12">
      <c r="A19" s="73"/>
      <c r="B19" s="212"/>
      <c r="C19" s="213"/>
      <c r="D19" s="214"/>
      <c r="E19" s="82"/>
      <c r="F19" s="77"/>
      <c r="G19" s="83"/>
      <c r="H19" s="84"/>
      <c r="I19" s="80"/>
      <c r="J19" s="86"/>
      <c r="K19" s="71"/>
      <c r="L19" s="87"/>
    </row>
    <row r="20" spans="1:12">
      <c r="A20" s="73"/>
      <c r="B20" s="74"/>
      <c r="C20" s="75"/>
      <c r="D20" s="76"/>
      <c r="E20" s="82"/>
      <c r="F20" s="77"/>
      <c r="G20" s="78"/>
      <c r="H20" s="79"/>
      <c r="I20" s="85"/>
      <c r="J20" s="81"/>
      <c r="K20" s="71"/>
      <c r="L20" s="87"/>
    </row>
    <row r="21" spans="1:12">
      <c r="A21" s="73"/>
      <c r="B21" s="74"/>
      <c r="C21" s="75"/>
      <c r="D21" s="76"/>
      <c r="E21" s="82"/>
      <c r="F21" s="77"/>
      <c r="G21" s="83"/>
      <c r="H21" s="84"/>
      <c r="I21" s="85"/>
      <c r="J21" s="86"/>
      <c r="K21" s="71"/>
      <c r="L21" s="87"/>
    </row>
    <row r="22" spans="1:12">
      <c r="A22" s="73"/>
      <c r="B22" s="74"/>
      <c r="C22" s="75"/>
      <c r="D22" s="76"/>
      <c r="E22" s="82"/>
      <c r="F22" s="77"/>
      <c r="G22" s="83"/>
      <c r="H22" s="84"/>
      <c r="I22" s="85"/>
      <c r="J22" s="86"/>
      <c r="K22" s="71"/>
      <c r="L22" s="87"/>
    </row>
    <row r="23" spans="1:12" hidden="1">
      <c r="A23" s="73"/>
      <c r="B23" s="74"/>
      <c r="C23" s="75"/>
      <c r="D23" s="76"/>
      <c r="E23" s="82"/>
      <c r="F23" s="77"/>
      <c r="G23" s="83"/>
      <c r="H23" s="84"/>
      <c r="I23" s="85"/>
      <c r="J23" s="86"/>
      <c r="K23" s="71"/>
      <c r="L23" s="87"/>
    </row>
    <row r="24" spans="1:12" hidden="1">
      <c r="A24" s="73"/>
      <c r="B24" s="74"/>
      <c r="C24" s="75"/>
      <c r="D24" s="76"/>
      <c r="E24" s="82"/>
      <c r="F24" s="77"/>
      <c r="G24" s="83"/>
      <c r="H24" s="84"/>
      <c r="I24" s="85"/>
      <c r="J24" s="86"/>
      <c r="K24" s="71"/>
      <c r="L24" s="87"/>
    </row>
    <row r="25" spans="1:12" hidden="1">
      <c r="A25" s="73"/>
      <c r="B25" s="74"/>
      <c r="C25" s="75"/>
      <c r="D25" s="76"/>
      <c r="E25" s="82"/>
      <c r="F25" s="77"/>
      <c r="G25" s="83"/>
      <c r="H25" s="84"/>
      <c r="I25" s="85"/>
      <c r="J25" s="86"/>
      <c r="K25" s="71"/>
      <c r="L25" s="87"/>
    </row>
    <row r="26" spans="1:12" hidden="1">
      <c r="A26" s="73"/>
      <c r="B26" s="74"/>
      <c r="C26" s="75"/>
      <c r="D26" s="76"/>
      <c r="E26" s="82"/>
      <c r="F26" s="77"/>
      <c r="G26" s="83"/>
      <c r="H26" s="84"/>
      <c r="I26" s="85"/>
      <c r="J26" s="86"/>
      <c r="K26" s="71"/>
      <c r="L26" s="87"/>
    </row>
    <row r="27" spans="1:12" hidden="1">
      <c r="A27" s="73"/>
      <c r="B27" s="74"/>
      <c r="C27" s="75"/>
      <c r="D27" s="76"/>
      <c r="E27" s="82"/>
      <c r="F27" s="77"/>
      <c r="G27" s="83"/>
      <c r="H27" s="84"/>
      <c r="I27" s="85"/>
      <c r="J27" s="86"/>
      <c r="K27" s="71"/>
      <c r="L27" s="87"/>
    </row>
    <row r="28" spans="1:12" hidden="1">
      <c r="A28" s="73"/>
      <c r="B28" s="74"/>
      <c r="C28" s="75"/>
      <c r="D28" s="76"/>
      <c r="E28" s="82"/>
      <c r="F28" s="77"/>
      <c r="G28" s="83"/>
      <c r="H28" s="84"/>
      <c r="I28" s="85"/>
      <c r="J28" s="86"/>
      <c r="K28" s="71"/>
      <c r="L28" s="87"/>
    </row>
    <row r="29" spans="1:12" hidden="1">
      <c r="A29" s="73"/>
      <c r="B29" s="212"/>
      <c r="C29" s="213"/>
      <c r="D29" s="214"/>
      <c r="E29" s="82"/>
      <c r="F29" s="77"/>
      <c r="G29" s="83"/>
      <c r="H29" s="84"/>
      <c r="I29" s="85"/>
      <c r="J29" s="86"/>
      <c r="K29" s="71">
        <f>+J18*18*13350</f>
        <v>0</v>
      </c>
      <c r="L29" s="87"/>
    </row>
    <row r="30" spans="1:12" hidden="1">
      <c r="A30" s="73"/>
      <c r="B30" s="212"/>
      <c r="C30" s="213"/>
      <c r="D30" s="214"/>
      <c r="E30" s="82"/>
      <c r="F30" s="77"/>
      <c r="G30" s="83"/>
      <c r="H30" s="84"/>
      <c r="I30" s="85"/>
      <c r="J30" s="86"/>
      <c r="K30" s="71">
        <f>+J19*18*13350</f>
        <v>0</v>
      </c>
      <c r="L30" s="87"/>
    </row>
    <row r="31" spans="1:12" hidden="1">
      <c r="A31" s="73"/>
      <c r="B31" s="212"/>
      <c r="C31" s="213"/>
      <c r="D31" s="214"/>
      <c r="E31" s="88"/>
      <c r="F31" s="77"/>
      <c r="G31" s="83"/>
      <c r="H31" s="84"/>
      <c r="I31" s="89"/>
      <c r="J31" s="90"/>
      <c r="K31" s="71">
        <f t="shared" ref="K31:K34" si="0">+J31*18*13350</f>
        <v>0</v>
      </c>
      <c r="L31" s="91"/>
    </row>
    <row r="32" spans="1:12" hidden="1">
      <c r="A32" s="73"/>
      <c r="B32" s="212"/>
      <c r="C32" s="213"/>
      <c r="D32" s="214"/>
      <c r="E32" s="82"/>
      <c r="F32" s="92"/>
      <c r="G32" s="83"/>
      <c r="H32" s="84"/>
      <c r="I32" s="89"/>
      <c r="J32" s="90"/>
      <c r="K32" s="71">
        <f t="shared" si="0"/>
        <v>0</v>
      </c>
      <c r="L32" s="93"/>
    </row>
    <row r="33" spans="1:12" hidden="1">
      <c r="A33" s="73"/>
      <c r="B33" s="212"/>
      <c r="C33" s="213"/>
      <c r="D33" s="214"/>
      <c r="E33" s="88"/>
      <c r="F33" s="92"/>
      <c r="G33" s="83"/>
      <c r="H33" s="84"/>
      <c r="I33" s="89"/>
      <c r="J33" s="90"/>
      <c r="K33" s="71">
        <f t="shared" si="0"/>
        <v>0</v>
      </c>
      <c r="L33" s="94"/>
    </row>
    <row r="34" spans="1:12" hidden="1">
      <c r="A34" s="73"/>
      <c r="B34" s="212"/>
      <c r="C34" s="213"/>
      <c r="D34" s="214"/>
      <c r="E34" s="82"/>
      <c r="F34" s="92"/>
      <c r="G34" s="83"/>
      <c r="H34" s="84"/>
      <c r="I34" s="89"/>
      <c r="J34" s="90"/>
      <c r="K34" s="71">
        <f t="shared" si="0"/>
        <v>0</v>
      </c>
      <c r="L34" s="93"/>
    </row>
    <row r="35" spans="1:12" hidden="1">
      <c r="A35" s="73"/>
      <c r="B35" s="212"/>
      <c r="C35" s="213"/>
      <c r="D35" s="214"/>
      <c r="E35" s="88"/>
      <c r="F35" s="92"/>
      <c r="G35" s="83"/>
      <c r="H35" s="84"/>
      <c r="I35" s="89"/>
      <c r="J35" s="90"/>
      <c r="K35" s="95"/>
      <c r="L35" s="94"/>
    </row>
    <row r="36" spans="1:12" hidden="1">
      <c r="A36" s="73"/>
      <c r="B36" s="212"/>
      <c r="C36" s="213"/>
      <c r="D36" s="214"/>
      <c r="E36" s="88"/>
      <c r="F36" s="92"/>
      <c r="G36" s="83"/>
      <c r="H36" s="84"/>
      <c r="I36" s="89"/>
      <c r="J36" s="90"/>
      <c r="K36" s="95"/>
      <c r="L36" s="93"/>
    </row>
    <row r="37" spans="1:12" hidden="1">
      <c r="A37" s="73"/>
      <c r="B37" s="74"/>
      <c r="C37" s="75"/>
      <c r="D37" s="76"/>
      <c r="E37" s="88"/>
      <c r="F37" s="92"/>
      <c r="G37" s="83"/>
      <c r="H37" s="84"/>
      <c r="I37" s="89"/>
      <c r="J37" s="90"/>
      <c r="K37" s="95"/>
      <c r="L37" s="94"/>
    </row>
    <row r="38" spans="1:12" hidden="1">
      <c r="A38" s="73"/>
      <c r="B38" s="74"/>
      <c r="C38" s="75"/>
      <c r="D38" s="76"/>
      <c r="E38" s="88"/>
      <c r="F38" s="92"/>
      <c r="G38" s="83"/>
      <c r="H38" s="84"/>
      <c r="I38" s="89"/>
      <c r="J38" s="90"/>
      <c r="K38" s="95"/>
      <c r="L38" s="93"/>
    </row>
    <row r="39" spans="1:12" hidden="1">
      <c r="A39" s="73"/>
      <c r="B39" s="74"/>
      <c r="C39" s="75"/>
      <c r="D39" s="76"/>
      <c r="E39" s="88"/>
      <c r="F39" s="92"/>
      <c r="G39" s="83"/>
      <c r="H39" s="84"/>
      <c r="I39" s="89"/>
      <c r="J39" s="90"/>
      <c r="K39" s="95"/>
      <c r="L39" s="94"/>
    </row>
    <row r="40" spans="1:12" hidden="1">
      <c r="A40" s="73"/>
      <c r="B40" s="74"/>
      <c r="C40" s="75"/>
      <c r="D40" s="76"/>
      <c r="E40" s="88"/>
      <c r="F40" s="92"/>
      <c r="G40" s="83"/>
      <c r="H40" s="84"/>
      <c r="I40" s="89"/>
      <c r="J40" s="90"/>
      <c r="K40" s="95"/>
      <c r="L40" s="94"/>
    </row>
    <row r="41" spans="1:12" hidden="1">
      <c r="A41" s="73"/>
      <c r="B41" s="212"/>
      <c r="C41" s="213"/>
      <c r="D41" s="214"/>
      <c r="E41" s="88"/>
      <c r="F41" s="92"/>
      <c r="G41" s="83"/>
      <c r="H41" s="84"/>
      <c r="I41" s="89"/>
      <c r="J41" s="90"/>
      <c r="K41" s="95"/>
      <c r="L41" s="94"/>
    </row>
    <row r="42" spans="1:12" hidden="1">
      <c r="A42" s="73"/>
      <c r="B42" s="74"/>
      <c r="C42" s="75"/>
      <c r="D42" s="76"/>
      <c r="E42" s="88"/>
      <c r="F42" s="92"/>
      <c r="G42" s="83"/>
      <c r="H42" s="84"/>
      <c r="I42" s="89"/>
      <c r="J42" s="90"/>
      <c r="K42" s="95"/>
      <c r="L42" s="94"/>
    </row>
    <row r="43" spans="1:12" hidden="1">
      <c r="A43" s="73"/>
      <c r="B43" s="74"/>
      <c r="C43" s="75"/>
      <c r="D43" s="76"/>
      <c r="E43" s="88"/>
      <c r="F43" s="92"/>
      <c r="G43" s="83"/>
      <c r="H43" s="84"/>
      <c r="I43" s="89"/>
      <c r="J43" s="90"/>
      <c r="K43" s="95"/>
      <c r="L43" s="94"/>
    </row>
    <row r="44" spans="1:12" hidden="1">
      <c r="A44" s="73"/>
      <c r="B44" s="74"/>
      <c r="C44" s="75"/>
      <c r="D44" s="76"/>
      <c r="E44" s="88"/>
      <c r="F44" s="92"/>
      <c r="G44" s="83"/>
      <c r="H44" s="84"/>
      <c r="I44" s="96"/>
      <c r="J44" s="97"/>
      <c r="K44" s="95"/>
      <c r="L44" s="94"/>
    </row>
    <row r="45" spans="1:12" hidden="1">
      <c r="A45" s="73"/>
      <c r="B45" s="212"/>
      <c r="C45" s="213"/>
      <c r="D45" s="214"/>
      <c r="E45" s="88"/>
      <c r="F45" s="98"/>
      <c r="G45" s="83"/>
      <c r="H45" s="84"/>
      <c r="I45" s="96"/>
      <c r="J45" s="97"/>
      <c r="K45" s="95"/>
      <c r="L45" s="94"/>
    </row>
    <row r="46" spans="1:12" hidden="1">
      <c r="A46" s="73"/>
      <c r="B46" s="212"/>
      <c r="C46" s="213"/>
      <c r="D46" s="214"/>
      <c r="E46" s="88"/>
      <c r="F46" s="92"/>
      <c r="G46" s="83"/>
      <c r="H46" s="84"/>
      <c r="I46" s="96"/>
      <c r="J46" s="97"/>
      <c r="K46" s="95"/>
      <c r="L46" s="94"/>
    </row>
    <row r="47" spans="1:12" hidden="1">
      <c r="A47" s="99"/>
      <c r="B47" s="212"/>
      <c r="C47" s="213"/>
      <c r="D47" s="214"/>
      <c r="E47" s="88"/>
      <c r="F47" s="98"/>
      <c r="G47" s="83"/>
      <c r="H47" s="84"/>
      <c r="I47" s="96"/>
      <c r="J47" s="97"/>
      <c r="K47" s="95"/>
      <c r="L47" s="94"/>
    </row>
    <row r="48" spans="1:12" hidden="1">
      <c r="A48" s="100"/>
      <c r="B48" s="101"/>
      <c r="C48" s="102"/>
      <c r="D48" s="102"/>
      <c r="E48" s="88"/>
      <c r="F48" s="92"/>
      <c r="G48" s="83"/>
      <c r="H48" s="84"/>
      <c r="I48" s="96"/>
      <c r="J48" s="97"/>
      <c r="K48" s="103"/>
      <c r="L48" s="104"/>
    </row>
    <row r="49" spans="1:12" hidden="1">
      <c r="A49" s="100"/>
      <c r="B49" s="101"/>
      <c r="C49" s="102"/>
      <c r="D49" s="102"/>
      <c r="E49" s="88"/>
      <c r="F49" s="92"/>
      <c r="G49" s="83"/>
      <c r="H49" s="84"/>
      <c r="I49" s="96"/>
      <c r="J49" s="97"/>
      <c r="K49" s="103"/>
      <c r="L49" s="104"/>
    </row>
    <row r="50" spans="1:12" hidden="1">
      <c r="A50" s="100"/>
      <c r="B50" s="101"/>
      <c r="C50" s="102"/>
      <c r="D50" s="102"/>
      <c r="E50" s="105"/>
      <c r="F50" s="106"/>
      <c r="G50" s="107"/>
      <c r="H50" s="108"/>
      <c r="I50" s="109"/>
      <c r="J50" s="97"/>
      <c r="K50" s="103"/>
      <c r="L50" s="104"/>
    </row>
    <row r="51" spans="1:12" hidden="1">
      <c r="A51" s="100"/>
      <c r="B51" s="101"/>
      <c r="C51" s="102"/>
      <c r="D51" s="102"/>
      <c r="E51" s="105"/>
      <c r="F51" s="106"/>
      <c r="G51" s="107"/>
      <c r="H51" s="108"/>
      <c r="I51" s="109"/>
      <c r="J51" s="97"/>
      <c r="K51" s="103"/>
      <c r="L51" s="104"/>
    </row>
    <row r="52" spans="1:12" ht="16" thickBot="1">
      <c r="A52" s="110"/>
      <c r="B52" s="111"/>
      <c r="C52" s="112"/>
      <c r="D52" s="112"/>
      <c r="E52" s="113"/>
      <c r="F52" s="114"/>
      <c r="G52" s="115"/>
      <c r="H52" s="116"/>
      <c r="I52" s="117"/>
      <c r="J52" s="118"/>
      <c r="K52" s="119"/>
      <c r="L52" s="120"/>
    </row>
    <row r="53" spans="1:12" ht="17" thickTop="1" thickBot="1">
      <c r="A53" s="121"/>
      <c r="B53" s="122"/>
      <c r="C53" s="123"/>
      <c r="D53" s="123"/>
      <c r="E53" s="124"/>
      <c r="F53" s="124"/>
      <c r="G53" s="124"/>
      <c r="H53" s="125"/>
      <c r="I53" s="126" t="s">
        <v>35</v>
      </c>
      <c r="J53" s="127">
        <f>SUM(J10:J52)</f>
        <v>0</v>
      </c>
      <c r="K53" s="128">
        <v>0</v>
      </c>
      <c r="L53" s="129">
        <f>'PARTS &amp; LABOUR WORKSHEET'!I35</f>
        <v>0</v>
      </c>
    </row>
    <row r="54" spans="1:12" ht="16" thickTop="1">
      <c r="A54" s="130"/>
      <c r="B54" s="131" t="s">
        <v>36</v>
      </c>
      <c r="C54" s="131"/>
      <c r="D54" s="131"/>
      <c r="E54" s="132"/>
      <c r="F54" s="132"/>
      <c r="G54" s="132"/>
      <c r="H54" s="133"/>
      <c r="I54" s="134"/>
      <c r="J54" s="135"/>
      <c r="K54" s="136"/>
      <c r="L54" s="137"/>
    </row>
    <row r="55" spans="1:12">
      <c r="A55" s="138"/>
      <c r="B55" s="215"/>
      <c r="C55" s="216"/>
      <c r="D55" s="78" t="s">
        <v>37</v>
      </c>
      <c r="E55" s="140"/>
      <c r="F55" s="141">
        <v>0.05</v>
      </c>
      <c r="G55" s="142" t="s">
        <v>38</v>
      </c>
      <c r="H55" s="143"/>
      <c r="I55" s="144"/>
      <c r="J55" s="145"/>
      <c r="K55" s="146"/>
      <c r="L55" s="201">
        <f>F55*L53</f>
        <v>0</v>
      </c>
    </row>
    <row r="56" spans="1:12">
      <c r="A56" s="147"/>
      <c r="B56" s="148"/>
      <c r="C56" s="149"/>
      <c r="D56" s="150"/>
      <c r="E56" s="151"/>
      <c r="F56" s="152"/>
      <c r="G56" s="151"/>
      <c r="H56" s="153"/>
      <c r="I56" s="154"/>
      <c r="J56" s="155"/>
      <c r="K56" s="156"/>
      <c r="L56" s="157"/>
    </row>
    <row r="57" spans="1:12">
      <c r="A57" s="158"/>
      <c r="B57" s="215"/>
      <c r="C57" s="216"/>
      <c r="D57" s="78" t="s">
        <v>39</v>
      </c>
      <c r="E57" s="159"/>
      <c r="F57" s="160"/>
      <c r="G57" s="38"/>
      <c r="H57" s="161"/>
      <c r="I57" s="162"/>
      <c r="J57" s="163"/>
      <c r="K57" s="162"/>
      <c r="L57" s="164"/>
    </row>
    <row r="58" spans="1:12">
      <c r="A58" s="165"/>
      <c r="B58" s="211"/>
      <c r="C58" s="211"/>
      <c r="D58" s="167"/>
      <c r="E58" s="168" t="s">
        <v>40</v>
      </c>
      <c r="F58" s="202">
        <v>0</v>
      </c>
      <c r="G58" s="140" t="s">
        <v>41</v>
      </c>
      <c r="H58" s="169"/>
      <c r="I58" s="170">
        <v>130000</v>
      </c>
      <c r="J58" s="171">
        <f t="shared" ref="J58:J63" si="1">SUM(I58*F58)</f>
        <v>0</v>
      </c>
      <c r="K58" s="172"/>
      <c r="L58" s="173">
        <f>SUM(J58:J63)</f>
        <v>167000</v>
      </c>
    </row>
    <row r="59" spans="1:12">
      <c r="A59" s="165"/>
      <c r="B59" s="211"/>
      <c r="C59" s="211"/>
      <c r="D59" s="167"/>
      <c r="E59" s="168" t="s">
        <v>42</v>
      </c>
      <c r="F59" s="202">
        <v>1</v>
      </c>
      <c r="G59" s="140" t="s">
        <v>41</v>
      </c>
      <c r="H59" s="169"/>
      <c r="I59" s="170">
        <v>130000</v>
      </c>
      <c r="J59" s="171">
        <f t="shared" si="1"/>
        <v>130000</v>
      </c>
      <c r="K59" s="172"/>
      <c r="L59" s="174"/>
    </row>
    <row r="60" spans="1:12">
      <c r="A60" s="165"/>
      <c r="B60" s="211"/>
      <c r="C60" s="211"/>
      <c r="D60" s="167"/>
      <c r="E60" s="168" t="s">
        <v>43</v>
      </c>
      <c r="F60" s="202">
        <v>1</v>
      </c>
      <c r="G60" s="140" t="s">
        <v>41</v>
      </c>
      <c r="H60" s="169"/>
      <c r="I60" s="170">
        <v>22000</v>
      </c>
      <c r="J60" s="171">
        <f t="shared" si="1"/>
        <v>22000</v>
      </c>
      <c r="K60" s="172"/>
      <c r="L60" s="174"/>
    </row>
    <row r="61" spans="1:12">
      <c r="A61" s="138"/>
      <c r="B61" s="211"/>
      <c r="C61" s="211"/>
      <c r="D61" s="175"/>
      <c r="E61" s="168" t="s">
        <v>44</v>
      </c>
      <c r="F61" s="202">
        <v>1</v>
      </c>
      <c r="G61" s="140" t="s">
        <v>45</v>
      </c>
      <c r="H61" s="169"/>
      <c r="I61" s="170">
        <v>15000</v>
      </c>
      <c r="J61" s="171">
        <f t="shared" si="1"/>
        <v>15000</v>
      </c>
      <c r="K61" s="172"/>
      <c r="L61" s="174"/>
    </row>
    <row r="62" spans="1:12">
      <c r="A62" s="165"/>
      <c r="B62" s="176"/>
      <c r="C62" s="176"/>
      <c r="D62" s="177"/>
      <c r="E62" s="178" t="s">
        <v>46</v>
      </c>
      <c r="F62" s="203">
        <v>0</v>
      </c>
      <c r="G62" s="179" t="s">
        <v>41</v>
      </c>
      <c r="H62" s="180"/>
      <c r="I62" s="172">
        <v>45000</v>
      </c>
      <c r="J62" s="171">
        <f t="shared" si="1"/>
        <v>0</v>
      </c>
      <c r="K62" s="172"/>
      <c r="L62" s="174"/>
    </row>
    <row r="63" spans="1:12">
      <c r="A63" s="165"/>
      <c r="B63" s="176"/>
      <c r="C63" s="176"/>
      <c r="D63" s="177"/>
      <c r="E63" s="178" t="s">
        <v>47</v>
      </c>
      <c r="F63" s="203">
        <v>0</v>
      </c>
      <c r="G63" s="179" t="s">
        <v>41</v>
      </c>
      <c r="H63" s="180"/>
      <c r="I63" s="172">
        <v>10000</v>
      </c>
      <c r="J63" s="171">
        <f t="shared" si="1"/>
        <v>0</v>
      </c>
      <c r="K63" s="172"/>
      <c r="L63" s="174"/>
    </row>
    <row r="64" spans="1:12">
      <c r="A64" s="147"/>
      <c r="B64" s="149"/>
      <c r="C64" s="149"/>
      <c r="D64" s="181"/>
      <c r="E64" s="182"/>
      <c r="F64" s="151"/>
      <c r="G64" s="151"/>
      <c r="H64" s="183"/>
      <c r="I64" s="154"/>
      <c r="J64" s="155"/>
      <c r="K64" s="156"/>
      <c r="L64" s="184"/>
    </row>
    <row r="65" spans="1:17 16384:16384" hidden="1">
      <c r="A65" s="185"/>
      <c r="B65" s="78"/>
      <c r="C65" s="139"/>
      <c r="D65" s="78" t="s">
        <v>48</v>
      </c>
      <c r="E65" s="159"/>
      <c r="F65" s="160"/>
      <c r="G65" s="38"/>
      <c r="H65" s="161"/>
      <c r="I65" s="186"/>
      <c r="J65" s="163"/>
      <c r="K65" s="162"/>
      <c r="L65" s="164"/>
    </row>
    <row r="66" spans="1:17 16384:16384" hidden="1">
      <c r="A66" s="138"/>
      <c r="B66" s="166"/>
      <c r="C66" s="166"/>
      <c r="D66" s="187"/>
      <c r="E66" s="168"/>
      <c r="F66" s="140"/>
      <c r="G66" s="179"/>
      <c r="H66" s="188"/>
      <c r="I66" s="189"/>
      <c r="J66" s="171"/>
      <c r="K66" s="172"/>
      <c r="L66" s="173"/>
    </row>
    <row r="67" spans="1:17 16384:16384" hidden="1">
      <c r="A67" s="147"/>
      <c r="B67" s="149"/>
      <c r="C67" s="149"/>
      <c r="D67" s="150"/>
      <c r="E67" s="182"/>
      <c r="F67" s="151"/>
      <c r="G67" s="151"/>
      <c r="H67" s="183"/>
      <c r="I67" s="154"/>
      <c r="J67" s="155"/>
      <c r="K67" s="156"/>
      <c r="L67" s="190"/>
    </row>
    <row r="68" spans="1:17 16384:16384">
      <c r="A68" s="185"/>
      <c r="B68" s="139"/>
      <c r="C68" s="139"/>
      <c r="D68" s="78"/>
      <c r="E68" s="159"/>
      <c r="F68" s="160"/>
      <c r="G68" s="38"/>
      <c r="H68" s="161"/>
      <c r="I68" s="186"/>
      <c r="J68" s="163"/>
      <c r="K68" s="162"/>
      <c r="L68" s="164"/>
    </row>
    <row r="69" spans="1:17 16384:16384">
      <c r="A69" s="138"/>
      <c r="B69" s="166"/>
      <c r="C69" s="166"/>
      <c r="D69" s="187"/>
      <c r="E69" s="168"/>
      <c r="F69" s="140"/>
      <c r="G69" s="179"/>
      <c r="H69" s="188"/>
      <c r="I69" s="170"/>
      <c r="J69" s="171"/>
      <c r="K69" s="172"/>
      <c r="L69" s="173"/>
      <c r="M69" s="33" t="s">
        <v>0</v>
      </c>
      <c r="N69" s="33">
        <v>3267000</v>
      </c>
      <c r="O69" s="191">
        <v>0.1</v>
      </c>
      <c r="P69" s="33">
        <f>O69*N69</f>
        <v>326700</v>
      </c>
      <c r="Q69" s="33" t="s">
        <v>0</v>
      </c>
    </row>
    <row r="70" spans="1:17 16384:16384">
      <c r="A70" s="138"/>
      <c r="B70" s="166"/>
      <c r="C70" s="166"/>
      <c r="D70" s="187"/>
      <c r="E70" s="168"/>
      <c r="F70" s="140"/>
      <c r="G70" s="179"/>
      <c r="H70" s="188"/>
      <c r="I70" s="170"/>
      <c r="J70" s="171"/>
      <c r="K70" s="172"/>
      <c r="L70" s="173"/>
      <c r="O70" s="191"/>
    </row>
    <row r="71" spans="1:17 16384:16384" ht="14.25" customHeight="1">
      <c r="A71" s="138"/>
      <c r="B71" s="166"/>
      <c r="C71" s="166"/>
      <c r="D71" s="187"/>
      <c r="E71" s="168"/>
      <c r="F71" s="140"/>
      <c r="G71" s="179"/>
      <c r="H71" s="188"/>
      <c r="I71" s="170"/>
      <c r="J71" s="171"/>
      <c r="K71" s="172"/>
      <c r="L71" s="173"/>
      <c r="O71" s="191">
        <v>0.3</v>
      </c>
      <c r="P71" s="33">
        <f>N69+P69</f>
        <v>3593700</v>
      </c>
    </row>
    <row r="72" spans="1:17 16384:16384" ht="17.25" customHeight="1">
      <c r="A72" s="147"/>
      <c r="B72" s="149"/>
      <c r="C72" s="149"/>
      <c r="D72" s="150"/>
      <c r="E72" s="182"/>
      <c r="F72" s="151"/>
      <c r="G72" s="151"/>
      <c r="H72" s="183"/>
      <c r="I72" s="192"/>
      <c r="J72" s="155"/>
      <c r="K72" s="156"/>
      <c r="L72" s="173"/>
      <c r="P72" s="33">
        <f>O71*P71</f>
        <v>1078110</v>
      </c>
    </row>
    <row r="73" spans="1:17 16384:16384">
      <c r="A73" s="38"/>
      <c r="B73" s="38"/>
      <c r="C73" s="38"/>
      <c r="D73" s="38"/>
      <c r="E73" s="38"/>
      <c r="F73" s="38"/>
      <c r="G73" s="38"/>
      <c r="J73" s="38" t="s">
        <v>49</v>
      </c>
      <c r="K73" s="193"/>
      <c r="L73" s="194">
        <v>0</v>
      </c>
    </row>
    <row r="74" spans="1:17 16384:16384">
      <c r="A74" s="38"/>
      <c r="B74" s="38"/>
      <c r="C74" s="38"/>
      <c r="D74" s="38"/>
      <c r="E74" s="38"/>
      <c r="F74" s="38"/>
      <c r="G74" s="38"/>
      <c r="J74" s="38" t="s">
        <v>50</v>
      </c>
      <c r="K74" s="193"/>
      <c r="L74" s="195">
        <f>SUM(K53)</f>
        <v>0</v>
      </c>
    </row>
    <row r="75" spans="1:17 16384:16384">
      <c r="A75" s="38"/>
      <c r="B75" s="38"/>
      <c r="C75" s="38"/>
      <c r="D75" s="38"/>
      <c r="E75" s="38"/>
      <c r="F75" s="38"/>
      <c r="G75" s="38"/>
      <c r="J75" s="38" t="s">
        <v>51</v>
      </c>
      <c r="K75" s="193"/>
      <c r="L75" s="195">
        <f>SUM(L55:L69)</f>
        <v>167000</v>
      </c>
    </row>
    <row r="76" spans="1:17 16384:16384">
      <c r="A76" s="38"/>
      <c r="B76" s="38"/>
      <c r="C76" s="38"/>
      <c r="D76" s="38"/>
      <c r="E76" s="38"/>
      <c r="F76" s="38"/>
      <c r="G76" s="38"/>
      <c r="J76" s="38" t="s">
        <v>52</v>
      </c>
      <c r="K76" s="196"/>
      <c r="L76" s="195">
        <f>SUM(L73:L75)</f>
        <v>167000</v>
      </c>
      <c r="XFD76" s="33">
        <f>SUM(A76:XFC76)</f>
        <v>167000</v>
      </c>
    </row>
    <row r="77" spans="1:17 16384:16384">
      <c r="A77" s="38"/>
      <c r="B77" s="38"/>
      <c r="C77" s="38"/>
      <c r="D77" s="38"/>
      <c r="E77" s="38"/>
      <c r="F77" s="38"/>
      <c r="G77" s="38"/>
      <c r="J77" s="38" t="s">
        <v>53</v>
      </c>
      <c r="K77" s="196"/>
      <c r="L77" s="195">
        <f>L76*11%</f>
        <v>18370</v>
      </c>
    </row>
    <row r="78" spans="1:17 16384:16384">
      <c r="A78" s="38"/>
      <c r="B78" s="38"/>
      <c r="C78" s="38"/>
      <c r="D78" s="38"/>
      <c r="E78" s="38"/>
      <c r="F78" s="38"/>
      <c r="G78" s="38"/>
      <c r="J78" s="38" t="s">
        <v>54</v>
      </c>
      <c r="K78" s="196"/>
      <c r="L78" s="205">
        <f>SUM(L76:L77)</f>
        <v>185370</v>
      </c>
    </row>
    <row r="79" spans="1:17 16384:16384">
      <c r="A79" s="38"/>
      <c r="B79" s="38"/>
      <c r="C79" s="38"/>
      <c r="D79" s="38"/>
      <c r="E79" s="38"/>
      <c r="F79" s="38"/>
      <c r="G79" s="38"/>
      <c r="H79" s="38"/>
      <c r="I79" s="39"/>
      <c r="J79" s="197"/>
      <c r="K79" s="198"/>
      <c r="L79" s="198"/>
    </row>
    <row r="80" spans="1:17 16384:16384">
      <c r="A80" s="33" t="s">
        <v>11</v>
      </c>
      <c r="B80" s="206"/>
      <c r="C80" s="33" t="s">
        <v>56</v>
      </c>
    </row>
    <row r="81" spans="2:3">
      <c r="B81" s="204"/>
      <c r="C81" s="33" t="s">
        <v>55</v>
      </c>
    </row>
  </sheetData>
  <mergeCells count="35">
    <mergeCell ref="B14:D14"/>
    <mergeCell ref="A1:F1"/>
    <mergeCell ref="G1:H1"/>
    <mergeCell ref="A2:F2"/>
    <mergeCell ref="G2:H2"/>
    <mergeCell ref="A4:D4"/>
    <mergeCell ref="A8:A9"/>
    <mergeCell ref="B8:E8"/>
    <mergeCell ref="F8:I8"/>
    <mergeCell ref="J8:K8"/>
    <mergeCell ref="G9:H9"/>
    <mergeCell ref="B11:D11"/>
    <mergeCell ref="B12:D12"/>
    <mergeCell ref="B13:D13"/>
    <mergeCell ref="B41:D41"/>
    <mergeCell ref="B17:D17"/>
    <mergeCell ref="B18:D18"/>
    <mergeCell ref="B19:D19"/>
    <mergeCell ref="B29:D29"/>
    <mergeCell ref="B30:D30"/>
    <mergeCell ref="B31:D31"/>
    <mergeCell ref="B32:D32"/>
    <mergeCell ref="B33:D33"/>
    <mergeCell ref="B34:D34"/>
    <mergeCell ref="B35:D35"/>
    <mergeCell ref="B36:D36"/>
    <mergeCell ref="B59:C59"/>
    <mergeCell ref="B60:C60"/>
    <mergeCell ref="B61:C61"/>
    <mergeCell ref="B45:D45"/>
    <mergeCell ref="B46:D46"/>
    <mergeCell ref="B47:D47"/>
    <mergeCell ref="B55:C55"/>
    <mergeCell ref="B57:C57"/>
    <mergeCell ref="B58:C58"/>
  </mergeCells>
  <dataValidations count="1">
    <dataValidation type="list" allowBlank="1" showInputMessage="1" showErrorMessage="1" sqref="B11:D51" xr:uid="{E54155C7-3125-4561-830A-8CF2631DE135}">
      <formula1>#REF!</formula1>
    </dataValidation>
  </dataValidations>
  <printOptions horizontalCentered="1"/>
  <pageMargins left="0.25" right="0.25" top="0" bottom="0" header="0.28000000000000003" footer="0.19"/>
  <pageSetup paperSize="9" scale="6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L17" sqref="L17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76" sqref="L76:L77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3" sqref="A3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L72" sqref="L72"/>
    </sheetView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PARTS &amp; LABOUR WORKSHEET</vt:lpstr>
      <vt:lpstr>DETAIL</vt:lpstr>
      <vt:lpstr>Sheet1</vt:lpstr>
      <vt:lpstr>Sheet2</vt:lpstr>
      <vt:lpstr>Sheet3</vt:lpstr>
      <vt:lpstr>Sheet4</vt:lpstr>
      <vt:lpstr>DETAIL!Print_Area</vt:lpstr>
      <vt:lpstr>'PARTS &amp; LABOUR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farizherv888</cp:lastModifiedBy>
  <cp:lastPrinted>2025-06-20T06:07:45Z</cp:lastPrinted>
  <dcterms:created xsi:type="dcterms:W3CDTF">2020-06-13T12:37:36Z</dcterms:created>
  <dcterms:modified xsi:type="dcterms:W3CDTF">2026-02-25T16:19:00Z</dcterms:modified>
</cp:coreProperties>
</file>